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Report_Data" sheetId="3" state="visible" r:id="rId5"/>
    <sheet name="Widget_Data" sheetId="4" state="visible" r:id="rId6"/>
  </sheets>
  <definedNames>
    <definedName function="false" hidden="true" localSheetId="2" name="_xlnm._FilterDatabase" vbProcedure="false">Report_Data!$A$4:$K$154</definedName>
    <definedName function="false" hidden="true" localSheetId="3" name="_xlnm._FilterDatabase" vbProcedure="false">Widget_Data!$A$4:$J$154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<sst xmlns="http://schemas.openxmlformats.org/spreadsheetml/2006/main" count="219" uniqueCount="114">
  <si>
    <t xml:space="preserve">Reconcile report monthly cost totals to the Manager Approval widget</t>
  </si>
  <si>
    <t xml:space="preserve">*** Data in Report_Data and Widget_Data is SAMPLE (synthetic) - replace with your real August exports. ***</t>
  </si>
  <si>
    <t xml:space="preserve">How to use</t>
  </si>
  <si>
    <t xml:space="preserve">1. Summary!B3: set the month start (yellow). Month end is calculated.</t>
  </si>
  <si>
    <t xml:space="preserve">2. Summary!B4: set the widget status that its total counts (default 'Approved').</t>
  </si>
  <si>
    <t xml:space="preserve">3. Paste real rows over the blue input columns in Report_Data (A:E) and Widget_Data (A:F). Row 5 onward; helper columns are pre-filled to row 150.</t>
  </si>
  <si>
    <t xml:space="preserve">4. Read Summary: Variance bridge must show Unexplained = 0.00. Filter Report_Data!H / Widget_Data!H for line-level detail.</t>
  </si>
  <si>
    <t xml:space="preserve">Definitions (assumptions - confirm against the widget's actual logic)</t>
  </si>
  <si>
    <t xml:space="preserve">Report total = report lines whose cost_date is in the month.</t>
  </si>
  <si>
    <t xml:space="preserve">Widget total = widget rows with the chosen status whose approved_date is in the month.</t>
  </si>
  <si>
    <t xml:space="preserve">Variance = Report total - Widget total; each line's contribution = in-month report amount - amount the widget counts for that line_id.</t>
  </si>
  <si>
    <t xml:space="preserve">Widget-only rows (line_id absent from report) contribute -(widget amount).</t>
  </si>
  <si>
    <t xml:space="preserve">Match key is line_id. Single currency assumed. Duplicate widget rows for one line_id are summed (and flagged).</t>
  </si>
  <si>
    <t xml:space="preserve">Legend: blue = input, black = formula, yellow = parameter.</t>
  </si>
  <si>
    <t xml:space="preserve">Monthly cost reconciliation: report vs Manager Approval widget</t>
  </si>
  <si>
    <t xml:space="preserve">Month start</t>
  </si>
  <si>
    <t xml:space="preserve">Widget counts status</t>
  </si>
  <si>
    <t xml:space="preserve">Approved</t>
  </si>
  <si>
    <t xml:space="preserve">Month end</t>
  </si>
  <si>
    <t xml:space="preserve">Report total</t>
  </si>
  <si>
    <t xml:space="preserve">Widget total</t>
  </si>
  <si>
    <t xml:space="preserve">Variance (Report - Widget)</t>
  </si>
  <si>
    <t xml:space="preserve">Explained by categories below</t>
  </si>
  <si>
    <t xml:space="preserve">Unexplained (must be 0.00)</t>
  </si>
  <si>
    <t xml:space="preserve">Status</t>
  </si>
  <si>
    <t xml:space="preserve">Variance bridge by category</t>
  </si>
  <si>
    <t xml:space="preserve">Category</t>
  </si>
  <si>
    <t xml:space="preserve">Lines</t>
  </si>
  <si>
    <t xml:space="preserve">Report amount (in month)</t>
  </si>
  <si>
    <t xml:space="preserve">Widget amount counted</t>
  </si>
  <si>
    <t xml:space="preserve">Variance</t>
  </si>
  <si>
    <t xml:space="preserve">Matched</t>
  </si>
  <si>
    <t xml:space="preserve">Amount differs</t>
  </si>
  <si>
    <t xml:space="preserve">Missing in widget</t>
  </si>
  <si>
    <t xml:space="preserve">In widget - not approved</t>
  </si>
  <si>
    <t xml:space="preserve">In widget - approved in other month</t>
  </si>
  <si>
    <t xml:space="preserve">Counted by widget - cost dated other month</t>
  </si>
  <si>
    <t xml:space="preserve">Out of month - not in widget</t>
  </si>
  <si>
    <t xml:space="preserve">Widget-only - not in report</t>
  </si>
  <si>
    <t xml:space="preserve">Total</t>
  </si>
  <si>
    <t xml:space="preserve">Widget rows sharing a duplicated line_id</t>
  </si>
  <si>
    <t xml:space="preserve">Note: a small net variance can hide large offsetting differences - review the gross categories, not just the net.</t>
  </si>
  <si>
    <t xml:space="preserve">Report cost lines (SAMPLE DATA - replace)</t>
  </si>
  <si>
    <t xml:space="preserve">line_id</t>
  </si>
  <si>
    <t xml:space="preserve">cost_date</t>
  </si>
  <si>
    <t xml:space="preserve">cost_centre</t>
  </si>
  <si>
    <t xml:space="preserve">description</t>
  </si>
  <si>
    <t xml:space="preserve">amount</t>
  </si>
  <si>
    <t xml:space="preserve">In month? (1/0)</t>
  </si>
  <si>
    <t xml:space="preserve">Variance contribution</t>
  </si>
  <si>
    <t xml:space="preserve">Widget rows</t>
  </si>
  <si>
    <t xml:space="preserve">Widget status (first row)</t>
  </si>
  <si>
    <t xml:space="preserve">R-1001</t>
  </si>
  <si>
    <t xml:space="preserve">OPS</t>
  </si>
  <si>
    <t xml:space="preserve">Vendor invoice</t>
  </si>
  <si>
    <t xml:space="preserve">R-1002</t>
  </si>
  <si>
    <t xml:space="preserve">Travel</t>
  </si>
  <si>
    <t xml:space="preserve">R-1003</t>
  </si>
  <si>
    <t xml:space="preserve">FIN</t>
  </si>
  <si>
    <t xml:space="preserve">Audit fees</t>
  </si>
  <si>
    <t xml:space="preserve">R-1004</t>
  </si>
  <si>
    <t xml:space="preserve">Software</t>
  </si>
  <si>
    <t xml:space="preserve">R-1005</t>
  </si>
  <si>
    <t xml:space="preserve">HR</t>
  </si>
  <si>
    <t xml:space="preserve">Training</t>
  </si>
  <si>
    <t xml:space="preserve">R-1006</t>
  </si>
  <si>
    <t xml:space="preserve">Recruitment</t>
  </si>
  <si>
    <t xml:space="preserve">R-1007</t>
  </si>
  <si>
    <t xml:space="preserve">IT</t>
  </si>
  <si>
    <t xml:space="preserve">Hardware</t>
  </si>
  <si>
    <t xml:space="preserve">R-1008</t>
  </si>
  <si>
    <t xml:space="preserve">Cloud hosting</t>
  </si>
  <si>
    <t xml:space="preserve">R-1009</t>
  </si>
  <si>
    <t xml:space="preserve">Supplies</t>
  </si>
  <si>
    <t xml:space="preserve">R-1010</t>
  </si>
  <si>
    <t xml:space="preserve">Maintenance</t>
  </si>
  <si>
    <t xml:space="preserve">R-1011</t>
  </si>
  <si>
    <t xml:space="preserve">Consulting</t>
  </si>
  <si>
    <t xml:space="preserve">R-1012</t>
  </si>
  <si>
    <t xml:space="preserve">Legal</t>
  </si>
  <si>
    <t xml:space="preserve">R-1013</t>
  </si>
  <si>
    <t xml:space="preserve">Benefits admin</t>
  </si>
  <si>
    <t xml:space="preserve">R-1014</t>
  </si>
  <si>
    <t xml:space="preserve">Licences</t>
  </si>
  <si>
    <t xml:space="preserve">R-1015</t>
  </si>
  <si>
    <t xml:space="preserve">Logistics</t>
  </si>
  <si>
    <t xml:space="preserve">R-1016</t>
  </si>
  <si>
    <t xml:space="preserve">Utilities</t>
  </si>
  <si>
    <t xml:space="preserve">R-1017</t>
  </si>
  <si>
    <t xml:space="preserve">Insurance</t>
  </si>
  <si>
    <t xml:space="preserve">R-1018</t>
  </si>
  <si>
    <t xml:space="preserve">Support contract</t>
  </si>
  <si>
    <t xml:space="preserve">R-1019</t>
  </si>
  <si>
    <t xml:space="preserve">Events</t>
  </si>
  <si>
    <t xml:space="preserve">R-1020</t>
  </si>
  <si>
    <t xml:space="preserve">Network</t>
  </si>
  <si>
    <t xml:space="preserve">R-1021</t>
  </si>
  <si>
    <t xml:space="preserve">Courier</t>
  </si>
  <si>
    <t xml:space="preserve">R-1022</t>
  </si>
  <si>
    <t xml:space="preserve">Subscriptions</t>
  </si>
  <si>
    <t xml:space="preserve">Manager Approval widget items (SAMPLE DATA - replace)</t>
  </si>
  <si>
    <t xml:space="preserve">approver</t>
  </si>
  <si>
    <t xml:space="preserve">status</t>
  </si>
  <si>
    <t xml:space="preserve">approved_date</t>
  </si>
  <si>
    <t xml:space="preserve">Counted in widget total</t>
  </si>
  <si>
    <t xml:space="preserve">Widget-only variance</t>
  </si>
  <si>
    <t xml:space="preserve">Duplicate line_id?</t>
  </si>
  <si>
    <t xml:space="preserve">In report?</t>
  </si>
  <si>
    <t xml:space="preserve">A. Patel</t>
  </si>
  <si>
    <t xml:space="preserve">B. Jones</t>
  </si>
  <si>
    <t xml:space="preserve">C. Wood</t>
  </si>
  <si>
    <t xml:space="preserve">D. Khan</t>
  </si>
  <si>
    <t xml:space="preserve">Pending</t>
  </si>
  <si>
    <t xml:space="preserve">X-9001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</si>
</sst>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#,##0.00;\(#,##0.00\);\-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14</v>
      </c>
    </row>
    <row r="3" customFormat="false" ht="15" hidden="false" customHeight="false" outlineLevel="0" collapsed="false">
      <c r="A3" s="2" t="s">
        <v>15</v>
      </c>
      <c r="B3" s="4" t="n">
        <v>46235</v>
      </c>
    </row>
    <row r="4" customFormat="false" ht="15" hidden="false" customHeight="false" outlineLevel="0" collapsed="false">
      <c r="A4" s="2" t="s">
        <v>16</v>
      </c>
      <c r="B4" s="5" t="s">
        <v>17</v>
      </c>
    </row>
    <row r="5" customFormat="false" ht="15" hidden="false" customHeight="false" outlineLevel="0" collapsed="false">
      <c r="A5" s="2" t="s">
        <v>18</v>
      </c>
      <c r="B5" s="6" t="n">
        <f aca="false">EOMONTH(B3,0)</f>
        <v>46265</v>
      </c>
    </row>
    <row r="7" customFormat="false" ht="15" hidden="false" customHeight="false" outlineLevel="0" collapsed="false">
      <c r="A7" s="2" t="s">
        <v>19</v>
      </c>
      <c r="B7" s="7" t="n">
        <f aca="false">SUMIFS(Report_Data!$E$5:$E$500,Report_Data!$F$5:$F$500,1)</f>
        <v>26815.14</v>
      </c>
    </row>
    <row r="8" customFormat="false" ht="15" hidden="false" customHeight="false" outlineLevel="0" collapsed="false">
      <c r="A8" s="2" t="s">
        <v>20</v>
      </c>
      <c r="B8" s="7" t="n">
        <f aca="false">SUM(Widget_Data!$G$5:$G$500)</f>
        <v>26790.14</v>
      </c>
    </row>
    <row r="9" customFormat="false" ht="15" hidden="false" customHeight="false" outlineLevel="0" collapsed="false">
      <c r="A9" s="2" t="s">
        <v>21</v>
      </c>
      <c r="B9" s="8" t="n">
        <f aca="false">B7-B8</f>
        <v>25</v>
      </c>
    </row>
    <row r="10" customFormat="false" ht="15" hidden="false" customHeight="false" outlineLevel="0" collapsed="false">
      <c r="A10" s="2" t="s">
        <v>22</v>
      </c>
      <c r="B10" s="7" t="n">
        <f aca="false">E24</f>
        <v>25</v>
      </c>
    </row>
    <row r="11" customFormat="false" ht="15" hidden="false" customHeight="false" outlineLevel="0" collapsed="false">
      <c r="A11" s="2" t="s">
        <v>23</v>
      </c>
      <c r="B11" s="8" t="n">
        <f aca="false">ROUND(B9-B10,2)</f>
        <v>0</v>
      </c>
    </row>
    <row r="12" customFormat="false" ht="15" hidden="false" customHeight="false" outlineLevel="0" collapsed="false">
      <c r="A12" s="2" t="s">
        <v>24</v>
      </c>
      <c r="B12" s="9" t="str">
        <f aca="false">IF(B11=0,"RECONCILED - all variance explained","INVESTIGATE - unexplained variance")</f>
        <v>RECONCILED - all variance explained</v>
      </c>
    </row>
    <row r="14" customFormat="false" ht="15" hidden="false" customHeight="false" outlineLevel="0" collapsed="false">
      <c r="A14" s="10" t="s">
        <v>25</v>
      </c>
    </row>
    <row r="15" customFormat="false" ht="15" hidden="false" customHeight="false" outlineLevel="0" collapsed="false">
      <c r="A15" s="11" t="s">
        <v>26</v>
      </c>
      <c r="B15" s="11" t="s">
        <v>27</v>
      </c>
      <c r="C15" s="11" t="s">
        <v>28</v>
      </c>
      <c r="D15" s="11" t="s">
        <v>29</v>
      </c>
      <c r="E15" s="11" t="s">
        <v>30</v>
      </c>
    </row>
    <row r="16" customFormat="false" ht="15" hidden="false" customHeight="false" outlineLevel="0" collapsed="false">
      <c r="A16" s="12" t="s">
        <v>31</v>
      </c>
      <c r="B16" s="12" t="n">
        <f aca="false">COUNTIF(Report_Data!$H$5:$H$500,A16)</f>
        <v>15</v>
      </c>
      <c r="C16" s="7" t="n">
        <f aca="false">SUMIFS(Report_Data!$E$5:$E$500,Report_Data!$H$5:$H$500,A16,Report_Data!$F$5:$F$500,1)</f>
        <v>20455.14</v>
      </c>
      <c r="D16" s="7" t="n">
        <f aca="false">SUMIFS(Report_Data!$G$5:$G$500,Report_Data!$H$5:$H$500,A16)</f>
        <v>20455.14</v>
      </c>
      <c r="E16" s="7" t="n">
        <f aca="false">C16-D16</f>
        <v>0</v>
      </c>
    </row>
    <row r="17" customFormat="false" ht="15" hidden="false" customHeight="false" outlineLevel="0" collapsed="false">
      <c r="A17" s="12" t="s">
        <v>32</v>
      </c>
      <c r="B17" s="12" t="n">
        <f aca="false">COUNTIF(Report_Data!$H$5:$H$500,A17)</f>
        <v>2</v>
      </c>
      <c r="C17" s="7" t="n">
        <f aca="false">SUMIFS(Report_Data!$E$5:$E$500,Report_Data!$H$5:$H$500,A17,Report_Data!$F$5:$F$500,1)</f>
        <v>3345</v>
      </c>
      <c r="D17" s="7" t="n">
        <f aca="false">SUMIFS(Report_Data!$G$5:$G$500,Report_Data!$H$5:$H$500,A17)</f>
        <v>5395</v>
      </c>
      <c r="E17" s="7" t="n">
        <f aca="false">C17-D17</f>
        <v>-2050</v>
      </c>
    </row>
    <row r="18" customFormat="false" ht="15" hidden="false" customHeight="false" outlineLevel="0" collapsed="false">
      <c r="A18" s="12" t="s">
        <v>33</v>
      </c>
      <c r="B18" s="12" t="n">
        <f aca="false">COUNTIF(Report_Data!$H$5:$H$500,A18)</f>
        <v>1</v>
      </c>
      <c r="C18" s="7" t="n">
        <f aca="false">SUMIFS(Report_Data!$E$5:$E$500,Report_Data!$H$5:$H$500,A18,Report_Data!$F$5:$F$500,1)</f>
        <v>980</v>
      </c>
      <c r="D18" s="7" t="n">
        <f aca="false">SUMIFS(Report_Data!$G$5:$G$500,Report_Data!$H$5:$H$500,A18)</f>
        <v>0</v>
      </c>
      <c r="E18" s="7" t="n">
        <f aca="false">C18-D18</f>
        <v>980</v>
      </c>
    </row>
    <row r="19" customFormat="false" ht="15" hidden="false" customHeight="false" outlineLevel="0" collapsed="false">
      <c r="A19" s="12" t="s">
        <v>34</v>
      </c>
      <c r="B19" s="12" t="n">
        <f aca="false">COUNTIF(Report_Data!$H$5:$H$500,A19)</f>
        <v>1</v>
      </c>
      <c r="C19" s="7" t="n">
        <f aca="false">SUMIFS(Report_Data!$E$5:$E$500,Report_Data!$H$5:$H$500,A19,Report_Data!$F$5:$F$500,1)</f>
        <v>715</v>
      </c>
      <c r="D19" s="7" t="n">
        <f aca="false">SUMIFS(Report_Data!$G$5:$G$500,Report_Data!$H$5:$H$500,A19)</f>
        <v>0</v>
      </c>
      <c r="E19" s="7" t="n">
        <f aca="false">C19-D19</f>
        <v>715</v>
      </c>
    </row>
    <row r="20" customFormat="false" ht="15" hidden="false" customHeight="false" outlineLevel="0" collapsed="false">
      <c r="A20" s="12" t="s">
        <v>35</v>
      </c>
      <c r="B20" s="12" t="n">
        <f aca="false">COUNTIF(Report_Data!$H$5:$H$500,A20)</f>
        <v>1</v>
      </c>
      <c r="C20" s="7" t="n">
        <f aca="false">SUMIFS(Report_Data!$E$5:$E$500,Report_Data!$H$5:$H$500,A20,Report_Data!$F$5:$F$500,1)</f>
        <v>1320</v>
      </c>
      <c r="D20" s="7" t="n">
        <f aca="false">SUMIFS(Report_Data!$G$5:$G$500,Report_Data!$H$5:$H$500,A20)</f>
        <v>0</v>
      </c>
      <c r="E20" s="7" t="n">
        <f aca="false">C20-D20</f>
        <v>1320</v>
      </c>
    </row>
    <row r="21" customFormat="false" ht="15" hidden="false" customHeight="false" outlineLevel="0" collapsed="false">
      <c r="A21" s="12" t="s">
        <v>36</v>
      </c>
      <c r="B21" s="12" t="n">
        <f aca="false">COUNTIF(Report_Data!$H$5:$H$500,A21)</f>
        <v>1</v>
      </c>
      <c r="C21" s="7" t="n">
        <f aca="false">SUMIFS(Report_Data!$E$5:$E$500,Report_Data!$H$5:$H$500,A21,Report_Data!$F$5:$F$500,1)</f>
        <v>0</v>
      </c>
      <c r="D21" s="7" t="n">
        <f aca="false">SUMIFS(Report_Data!$G$5:$G$500,Report_Data!$H$5:$H$500,A21)</f>
        <v>640</v>
      </c>
      <c r="E21" s="7" t="n">
        <f aca="false">C21-D21</f>
        <v>-640</v>
      </c>
    </row>
    <row r="22" customFormat="false" ht="15" hidden="false" customHeight="false" outlineLevel="0" collapsed="false">
      <c r="A22" s="12" t="s">
        <v>37</v>
      </c>
      <c r="B22" s="12" t="n">
        <f aca="false">COUNTIF(Report_Data!$H$5:$H$500,A22)</f>
        <v>1</v>
      </c>
      <c r="C22" s="7" t="n">
        <f aca="false">SUMIFS(Report_Data!$E$5:$E$500,Report_Data!$H$5:$H$500,A22,Report_Data!$F$5:$F$500,1)</f>
        <v>0</v>
      </c>
      <c r="D22" s="7" t="n">
        <f aca="false">SUMIFS(Report_Data!$G$5:$G$500,Report_Data!$H$5:$H$500,A22)</f>
        <v>0</v>
      </c>
      <c r="E22" s="7" t="n">
        <f aca="false">C22-D22</f>
        <v>0</v>
      </c>
    </row>
    <row r="23" customFormat="false" ht="15" hidden="false" customHeight="false" outlineLevel="0" collapsed="false">
      <c r="A23" s="12" t="s">
        <v>38</v>
      </c>
      <c r="B23" s="12" t="n">
        <f aca="false">COUNTIFS(Widget_Data!$J$5:$J$500,FALSE(),Widget_Data!$G$5:$G$500,"&gt;0")</f>
        <v>1</v>
      </c>
      <c r="C23" s="7" t="n">
        <v>0</v>
      </c>
      <c r="D23" s="7" t="n">
        <f aca="false">SUMIFS(Widget_Data!$G$5:$G$500,Widget_Data!$J$5:$J$500,FALSE())</f>
        <v>300</v>
      </c>
      <c r="E23" s="7" t="n">
        <f aca="false">C23-D23</f>
        <v>-300</v>
      </c>
    </row>
    <row r="24" customFormat="false" ht="15" hidden="false" customHeight="false" outlineLevel="0" collapsed="false">
      <c r="A24" s="9" t="s">
        <v>39</v>
      </c>
      <c r="B24" s="9" t="n">
        <f aca="false">SUM(B16:B23)</f>
        <v>23</v>
      </c>
      <c r="C24" s="8" t="n">
        <f aca="false">SUM(C16:C23)</f>
        <v>26815.14</v>
      </c>
      <c r="D24" s="8" t="n">
        <f aca="false">SUM(D16:D23)</f>
        <v>26790.14</v>
      </c>
      <c r="E24" s="8" t="n">
        <f aca="false">SUM(E16:E23)</f>
        <v>25</v>
      </c>
    </row>
    <row r="26" customFormat="false" ht="15" hidden="false" customHeight="false" outlineLevel="0" collapsed="false">
      <c r="A26" s="2" t="s">
        <v>40</v>
      </c>
      <c r="B26" s="3" t="n">
        <f aca="false">COUNTIF(Widget_Data!$I$5:$I$500,TRUE())</f>
        <v>2</v>
      </c>
    </row>
    <row r="27" customFormat="false" ht="15" hidden="false" customHeight="false" outlineLevel="0" collapsed="false">
      <c r="A27" s="1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0" t="s">
        <v>42</v>
      </c>
    </row>
    <row r="4" customFormat="false" ht="35.05" hidden="false" customHeight="false" outlineLevel="0" collapsed="false">
      <c r="A4" s="11" t="s">
        <v>43</v>
      </c>
      <c r="B4" s="11" t="s">
        <v>44</v>
      </c>
      <c r="C4" s="11" t="s">
        <v>45</v>
      </c>
      <c r="D4" s="11" t="s">
        <v>46</v>
      </c>
      <c r="E4" s="11" t="s">
        <v>47</v>
      </c>
      <c r="F4" s="11" t="s">
        <v>48</v>
      </c>
      <c r="G4" s="11" t="s">
        <v>29</v>
      </c>
      <c r="H4" s="11" t="s">
        <v>26</v>
      </c>
      <c r="I4" s="11" t="s">
        <v>49</v>
      </c>
      <c r="J4" s="11" t="s">
        <v>50</v>
      </c>
      <c r="K4" s="11" t="s">
        <v>51</v>
      </c>
    </row>
    <row r="5" customFormat="false" ht="15" hidden="false" customHeight="false" outlineLevel="0" collapsed="false">
      <c r="A5" s="14" t="s">
        <v>52</v>
      </c>
      <c r="B5" s="15" t="n">
        <v>46237</v>
      </c>
      <c r="C5" s="14" t="s">
        <v>53</v>
      </c>
      <c r="D5" s="14" t="s">
        <v>54</v>
      </c>
      <c r="E5" s="16" t="n">
        <v>1200</v>
      </c>
      <c r="F5" s="3" t="n">
        <f aca="false">IF(A5="","",IF(AND(B5&gt;=Summary!$B$3,B5&lt;=Summary!$B$5),1,0))</f>
        <v>1</v>
      </c>
      <c r="G5" s="17" t="n">
        <f aca="false">IF(A5="","",SUMIFS(Widget_Data!$E$5:$E$500,Widget_Data!$A$5:$A$500,A5,Widget_Data!$C$5:$C$500,Summary!$B$4,Widget_Data!$D$5:$D$500,"&gt;="&amp;Summary!$B$3,Widget_Data!$D$5:$D$500,"&lt;="&amp;Summary!$B$5))</f>
        <v>1200</v>
      </c>
      <c r="H5" s="3" t="str">
        <f aca="false">IF(A5="","",IF(AND(F5=1,G5&gt;0,ABS(E5-G5)&lt;0.005),"Matched",IF(AND(F5=1,G5&gt;0),"Amount differs",IF(AND(F5=1,J5=0),"Missing in widget",IF(AND(F5=1,K5&lt;&gt;Summary!$B$4),"In widget - not approved",IF(F5=1,"In widget - approved in other month",IF(G5&gt;0,"Counted by widget - cost dated other month","Out of month - not in widget")))))))</f>
        <v>Matched</v>
      </c>
      <c r="I5" s="17" t="n">
        <f aca="false">IF(A5="","",F5*E5-G5)</f>
        <v>0</v>
      </c>
      <c r="J5" s="3" t="n">
        <f aca="false">IF(A5="","",COUNTIF(Widget_Data!$A$5:$A$500,A5))</f>
        <v>1</v>
      </c>
      <c r="K5" s="3" t="str">
        <f aca="false">IF(OR(A5="",J5=0),"",INDEX(Widget_Data!$C$5:$C$500,MATCH(A5,Widget_Data!$A$5:$A$500,0)))</f>
        <v>Approved</v>
      </c>
    </row>
    <row r="6" customFormat="false" ht="15" hidden="false" customHeight="false" outlineLevel="0" collapsed="false">
      <c r="A6" s="14" t="s">
        <v>55</v>
      </c>
      <c r="B6" s="15" t="n">
        <v>46238</v>
      </c>
      <c r="C6" s="14" t="s">
        <v>53</v>
      </c>
      <c r="D6" s="14" t="s">
        <v>56</v>
      </c>
      <c r="E6" s="16" t="n">
        <v>845.5</v>
      </c>
      <c r="F6" s="3" t="n">
        <f aca="false">IF(A6="","",IF(AND(B6&gt;=Summary!$B$3,B6&lt;=Summary!$B$5),1,0))</f>
        <v>1</v>
      </c>
      <c r="G6" s="17" t="n">
        <f aca="false">IF(A6="","",SUMIFS(Widget_Data!$E$5:$E$500,Widget_Data!$A$5:$A$500,A6,Widget_Data!$C$5:$C$500,Summary!$B$4,Widget_Data!$D$5:$D$500,"&gt;="&amp;Summary!$B$3,Widget_Data!$D$5:$D$500,"&lt;="&amp;Summary!$B$5))</f>
        <v>845.5</v>
      </c>
      <c r="H6" s="3" t="str">
        <f aca="false">IF(A6="","",IF(AND(F6=1,G6&gt;0,ABS(E6-G6)&lt;0.005),"Matched",IF(AND(F6=1,G6&gt;0),"Amount differs",IF(AND(F6=1,J6=0),"Missing in widget",IF(AND(F6=1,K6&lt;&gt;Summary!$B$4),"In widget - not approved",IF(F6=1,"In widget - approved in other month",IF(G6&gt;0,"Counted by widget - cost dated other month","Out of month - not in widget")))))))</f>
        <v>Matched</v>
      </c>
      <c r="I6" s="17" t="n">
        <f aca="false">IF(A6="","",F6*E6-G6)</f>
        <v>0</v>
      </c>
      <c r="J6" s="3" t="n">
        <f aca="false">IF(A6="","",COUNTIF(Widget_Data!$A$5:$A$500,A6))</f>
        <v>1</v>
      </c>
      <c r="K6" s="3" t="str">
        <f aca="false">IF(OR(A6="",J6=0),"",INDEX(Widget_Data!$C$5:$C$500,MATCH(A6,Widget_Data!$A$5:$A$500,0)))</f>
        <v>Approved</v>
      </c>
    </row>
    <row r="7" customFormat="false" ht="15" hidden="false" customHeight="false" outlineLevel="0" collapsed="false">
      <c r="A7" s="14" t="s">
        <v>57</v>
      </c>
      <c r="B7" s="15" t="n">
        <v>46232</v>
      </c>
      <c r="C7" s="14" t="s">
        <v>58</v>
      </c>
      <c r="D7" s="14" t="s">
        <v>59</v>
      </c>
      <c r="E7" s="16" t="n">
        <v>640</v>
      </c>
      <c r="F7" s="3" t="n">
        <f aca="false">IF(A7="","",IF(AND(B7&gt;=Summary!$B$3,B7&lt;=Summary!$B$5),1,0))</f>
        <v>0</v>
      </c>
      <c r="G7" s="17" t="n">
        <f aca="false">IF(A7="","",SUMIFS(Widget_Data!$E$5:$E$500,Widget_Data!$A$5:$A$500,A7,Widget_Data!$C$5:$C$500,Summary!$B$4,Widget_Data!$D$5:$D$500,"&gt;="&amp;Summary!$B$3,Widget_Data!$D$5:$D$500,"&lt;="&amp;Summary!$B$5))</f>
        <v>640</v>
      </c>
      <c r="H7" s="3" t="str">
        <f aca="false">IF(A7="","",IF(AND(F7=1,G7&gt;0,ABS(E7-G7)&lt;0.005),"Matched",IF(AND(F7=1,G7&gt;0),"Amount differs",IF(AND(F7=1,J7=0),"Missing in widget",IF(AND(F7=1,K7&lt;&gt;Summary!$B$4),"In widget - not approved",IF(F7=1,"In widget - approved in other month",IF(G7&gt;0,"Counted by widget - cost dated other month","Out of month - not in widget")))))))</f>
        <v>Counted by widget - cost dated other month</v>
      </c>
      <c r="I7" s="17" t="n">
        <f aca="false">IF(A7="","",F7*E7-G7)</f>
        <v>-640</v>
      </c>
      <c r="J7" s="3" t="n">
        <f aca="false">IF(A7="","",COUNTIF(Widget_Data!$A$5:$A$500,A7))</f>
        <v>1</v>
      </c>
      <c r="K7" s="3" t="str">
        <f aca="false">IF(OR(A7="",J7=0),"",INDEX(Widget_Data!$C$5:$C$500,MATCH(A7,Widget_Data!$A$5:$A$500,0)))</f>
        <v>Approved</v>
      </c>
    </row>
    <row r="8" customFormat="false" ht="15" hidden="false" customHeight="false" outlineLevel="0" collapsed="false">
      <c r="A8" s="14" t="s">
        <v>60</v>
      </c>
      <c r="B8" s="15" t="n">
        <v>46240</v>
      </c>
      <c r="C8" s="14" t="s">
        <v>58</v>
      </c>
      <c r="D8" s="14" t="s">
        <v>61</v>
      </c>
      <c r="E8" s="16" t="n">
        <v>2310.75</v>
      </c>
      <c r="F8" s="3" t="n">
        <f aca="false">IF(A8="","",IF(AND(B8&gt;=Summary!$B$3,B8&lt;=Summary!$B$5),1,0))</f>
        <v>1</v>
      </c>
      <c r="G8" s="17" t="n">
        <f aca="false">IF(A8="","",SUMIFS(Widget_Data!$E$5:$E$500,Widget_Data!$A$5:$A$500,A8,Widget_Data!$C$5:$C$500,Summary!$B$4,Widget_Data!$D$5:$D$500,"&gt;="&amp;Summary!$B$3,Widget_Data!$D$5:$D$500,"&lt;="&amp;Summary!$B$5))</f>
        <v>2310.75</v>
      </c>
      <c r="H8" s="3" t="str">
        <f aca="false">IF(A8="","",IF(AND(F8=1,G8&gt;0,ABS(E8-G8)&lt;0.005),"Matched",IF(AND(F8=1,G8&gt;0),"Amount differs",IF(AND(F8=1,J8=0),"Missing in widget",IF(AND(F8=1,K8&lt;&gt;Summary!$B$4),"In widget - not approved",IF(F8=1,"In widget - approved in other month",IF(G8&gt;0,"Counted by widget - cost dated other month","Out of month - not in widget")))))))</f>
        <v>Matched</v>
      </c>
      <c r="I8" s="17" t="n">
        <f aca="false">IF(A8="","",F8*E8-G8)</f>
        <v>0</v>
      </c>
      <c r="J8" s="3" t="n">
        <f aca="false">IF(A8="","",COUNTIF(Widget_Data!$A$5:$A$500,A8))</f>
        <v>1</v>
      </c>
      <c r="K8" s="3" t="str">
        <f aca="false">IF(OR(A8="",J8=0),"",INDEX(Widget_Data!$C$5:$C$500,MATCH(A8,Widget_Data!$A$5:$A$500,0)))</f>
        <v>Approved</v>
      </c>
    </row>
    <row r="9" customFormat="false" ht="15" hidden="false" customHeight="false" outlineLevel="0" collapsed="false">
      <c r="A9" s="14" t="s">
        <v>62</v>
      </c>
      <c r="B9" s="15" t="n">
        <v>46241</v>
      </c>
      <c r="C9" s="14" t="s">
        <v>63</v>
      </c>
      <c r="D9" s="14" t="s">
        <v>64</v>
      </c>
      <c r="E9" s="16" t="n">
        <v>399.99</v>
      </c>
      <c r="F9" s="3" t="n">
        <f aca="false">IF(A9="","",IF(AND(B9&gt;=Summary!$B$3,B9&lt;=Summary!$B$5),1,0))</f>
        <v>1</v>
      </c>
      <c r="G9" s="17" t="n">
        <f aca="false">IF(A9="","",SUMIFS(Widget_Data!$E$5:$E$500,Widget_Data!$A$5:$A$500,A9,Widget_Data!$C$5:$C$500,Summary!$B$4,Widget_Data!$D$5:$D$500,"&gt;="&amp;Summary!$B$3,Widget_Data!$D$5:$D$500,"&lt;="&amp;Summary!$B$5))</f>
        <v>399.99</v>
      </c>
      <c r="H9" s="3" t="str">
        <f aca="false">IF(A9="","",IF(AND(F9=1,G9&gt;0,ABS(E9-G9)&lt;0.005),"Matched",IF(AND(F9=1,G9&gt;0),"Amount differs",IF(AND(F9=1,J9=0),"Missing in widget",IF(AND(F9=1,K9&lt;&gt;Summary!$B$4),"In widget - not approved",IF(F9=1,"In widget - approved in other month",IF(G9&gt;0,"Counted by widget - cost dated other month","Out of month - not in widget")))))))</f>
        <v>Matched</v>
      </c>
      <c r="I9" s="17" t="n">
        <f aca="false">IF(A9="","",F9*E9-G9)</f>
        <v>0</v>
      </c>
      <c r="J9" s="3" t="n">
        <f aca="false">IF(A9="","",COUNTIF(Widget_Data!$A$5:$A$500,A9))</f>
        <v>1</v>
      </c>
      <c r="K9" s="3" t="str">
        <f aca="false">IF(OR(A9="",J9=0),"",INDEX(Widget_Data!$C$5:$C$500,MATCH(A9,Widget_Data!$A$5:$A$500,0)))</f>
        <v>Approved</v>
      </c>
    </row>
    <row r="10" customFormat="false" ht="15" hidden="false" customHeight="false" outlineLevel="0" collapsed="false">
      <c r="A10" s="14" t="s">
        <v>65</v>
      </c>
      <c r="B10" s="15" t="n">
        <v>46244</v>
      </c>
      <c r="C10" s="14" t="s">
        <v>63</v>
      </c>
      <c r="D10" s="14" t="s">
        <v>66</v>
      </c>
      <c r="E10" s="16" t="n">
        <v>1750</v>
      </c>
      <c r="F10" s="3" t="n">
        <f aca="false">IF(A10="","",IF(AND(B10&gt;=Summary!$B$3,B10&lt;=Summary!$B$5),1,0))</f>
        <v>1</v>
      </c>
      <c r="G10" s="17" t="n">
        <f aca="false">IF(A10="","",SUMIFS(Widget_Data!$E$5:$E$500,Widget_Data!$A$5:$A$500,A10,Widget_Data!$C$5:$C$500,Summary!$B$4,Widget_Data!$D$5:$D$500,"&gt;="&amp;Summary!$B$3,Widget_Data!$D$5:$D$500,"&lt;="&amp;Summary!$B$5))</f>
        <v>1750</v>
      </c>
      <c r="H10" s="3" t="str">
        <f aca="false">IF(A10="","",IF(AND(F10=1,G10&gt;0,ABS(E10-G10)&lt;0.005),"Matched",IF(AND(F10=1,G10&gt;0),"Amount differs",IF(AND(F10=1,J10=0),"Missing in widget",IF(AND(F10=1,K10&lt;&gt;Summary!$B$4),"In widget - not approved",IF(F10=1,"In widget - approved in other month",IF(G10&gt;0,"Counted by widget - cost dated other month","Out of month - not in widget")))))))</f>
        <v>Matched</v>
      </c>
      <c r="I10" s="17" t="n">
        <f aca="false">IF(A10="","",F10*E10-G10)</f>
        <v>0</v>
      </c>
      <c r="J10" s="3" t="n">
        <f aca="false">IF(A10="","",COUNTIF(Widget_Data!$A$5:$A$500,A10))</f>
        <v>1</v>
      </c>
      <c r="K10" s="3" t="str">
        <f aca="false">IF(OR(A10="",J10=0),"",INDEX(Widget_Data!$C$5:$C$500,MATCH(A10,Widget_Data!$A$5:$A$500,0)))</f>
        <v>Approved</v>
      </c>
    </row>
    <row r="11" customFormat="false" ht="15" hidden="false" customHeight="false" outlineLevel="0" collapsed="false">
      <c r="A11" s="14" t="s">
        <v>67</v>
      </c>
      <c r="B11" s="15" t="n">
        <v>46245</v>
      </c>
      <c r="C11" s="14" t="s">
        <v>68</v>
      </c>
      <c r="D11" s="14" t="s">
        <v>69</v>
      </c>
      <c r="E11" s="16" t="n">
        <v>980</v>
      </c>
      <c r="F11" s="3" t="n">
        <f aca="false">IF(A11="","",IF(AND(B11&gt;=Summary!$B$3,B11&lt;=Summary!$B$5),1,0))</f>
        <v>1</v>
      </c>
      <c r="G11" s="17" t="n">
        <f aca="false">IF(A11="","",SUMIFS(Widget_Data!$E$5:$E$500,Widget_Data!$A$5:$A$500,A11,Widget_Data!$C$5:$C$500,Summary!$B$4,Widget_Data!$D$5:$D$500,"&gt;="&amp;Summary!$B$3,Widget_Data!$D$5:$D$500,"&lt;="&amp;Summary!$B$5))</f>
        <v>0</v>
      </c>
      <c r="H11" s="3" t="str">
        <f aca="false">IF(A11="","",IF(AND(F11=1,G11&gt;0,ABS(E11-G11)&lt;0.005),"Matched",IF(AND(F11=1,G11&gt;0),"Amount differs",IF(AND(F11=1,J11=0),"Missing in widget",IF(AND(F11=1,K11&lt;&gt;Summary!$B$4),"In widget - not approved",IF(F11=1,"In widget - approved in other month",IF(G11&gt;0,"Counted by widget - cost dated other month","Out of month - not in widget")))))))</f>
        <v>Missing in widget</v>
      </c>
      <c r="I11" s="17" t="n">
        <f aca="false">IF(A11="","",F11*E11-G11)</f>
        <v>980</v>
      </c>
      <c r="J11" s="3" t="n">
        <f aca="false">IF(A11="","",COUNTIF(Widget_Data!$A$5:$A$500,A11))</f>
        <v>0</v>
      </c>
      <c r="K11" s="3" t="str">
        <f aca="false">IF(OR(A11="",J11=0),"",INDEX(Widget_Data!$C$5:$C$500,MATCH(A11,Widget_Data!$A$5:$A$500,0)))</f>
        <v/>
      </c>
    </row>
    <row r="12" customFormat="false" ht="15" hidden="false" customHeight="false" outlineLevel="0" collapsed="false">
      <c r="A12" s="14" t="s">
        <v>70</v>
      </c>
      <c r="B12" s="15" t="n">
        <v>46246</v>
      </c>
      <c r="C12" s="14" t="s">
        <v>68</v>
      </c>
      <c r="D12" s="14" t="s">
        <v>71</v>
      </c>
      <c r="E12" s="16" t="n">
        <v>4200</v>
      </c>
      <c r="F12" s="3" t="n">
        <f aca="false">IF(A12="","",IF(AND(B12&gt;=Summary!$B$3,B12&lt;=Summary!$B$5),1,0))</f>
        <v>1</v>
      </c>
      <c r="G12" s="17" t="n">
        <f aca="false">IF(A12="","",SUMIFS(Widget_Data!$E$5:$E$500,Widget_Data!$A$5:$A$500,A12,Widget_Data!$C$5:$C$500,Summary!$B$4,Widget_Data!$D$5:$D$500,"&gt;="&amp;Summary!$B$3,Widget_Data!$D$5:$D$500,"&lt;="&amp;Summary!$B$5))</f>
        <v>4200</v>
      </c>
      <c r="H12" s="3" t="str">
        <f aca="false">IF(A12="","",IF(AND(F12=1,G12&gt;0,ABS(E12-G12)&lt;0.005),"Matched",IF(AND(F12=1,G12&gt;0),"Amount differs",IF(AND(F12=1,J12=0),"Missing in widget",IF(AND(F12=1,K12&lt;&gt;Summary!$B$4),"In widget - not approved",IF(F12=1,"In widget - approved in other month",IF(G12&gt;0,"Counted by widget - cost dated other month","Out of month - not in widget")))))))</f>
        <v>Matched</v>
      </c>
      <c r="I12" s="17" t="n">
        <f aca="false">IF(A12="","",F12*E12-G12)</f>
        <v>0</v>
      </c>
      <c r="J12" s="3" t="n">
        <f aca="false">IF(A12="","",COUNTIF(Widget_Data!$A$5:$A$500,A12))</f>
        <v>1</v>
      </c>
      <c r="K12" s="3" t="str">
        <f aca="false">IF(OR(A12="",J12=0),"",INDEX(Widget_Data!$C$5:$C$500,MATCH(A12,Widget_Data!$A$5:$A$500,0)))</f>
        <v>Approved</v>
      </c>
    </row>
    <row r="13" customFormat="false" ht="15" hidden="false" customHeight="false" outlineLevel="0" collapsed="false">
      <c r="A13" s="14" t="s">
        <v>72</v>
      </c>
      <c r="B13" s="15" t="n">
        <v>46247</v>
      </c>
      <c r="C13" s="14" t="s">
        <v>53</v>
      </c>
      <c r="D13" s="14" t="s">
        <v>73</v>
      </c>
      <c r="E13" s="16" t="n">
        <v>125.4</v>
      </c>
      <c r="F13" s="3" t="n">
        <f aca="false">IF(A13="","",IF(AND(B13&gt;=Summary!$B$3,B13&lt;=Summary!$B$5),1,0))</f>
        <v>1</v>
      </c>
      <c r="G13" s="17" t="n">
        <f aca="false">IF(A13="","",SUMIFS(Widget_Data!$E$5:$E$500,Widget_Data!$A$5:$A$500,A13,Widget_Data!$C$5:$C$500,Summary!$B$4,Widget_Data!$D$5:$D$500,"&gt;="&amp;Summary!$B$3,Widget_Data!$D$5:$D$500,"&lt;="&amp;Summary!$B$5))</f>
        <v>125.4</v>
      </c>
      <c r="H13" s="3" t="str">
        <f aca="false">IF(A13="","",IF(AND(F13=1,G13&gt;0,ABS(E13-G13)&lt;0.005),"Matched",IF(AND(F13=1,G13&gt;0),"Amount differs",IF(AND(F13=1,J13=0),"Missing in widget",IF(AND(F13=1,K13&lt;&gt;Summary!$B$4),"In widget - not approved",IF(F13=1,"In widget - approved in other month",IF(G13&gt;0,"Counted by widget - cost dated other month","Out of month - not in widget")))))))</f>
        <v>Matched</v>
      </c>
      <c r="I13" s="17" t="n">
        <f aca="false">IF(A13="","",F13*E13-G13)</f>
        <v>0</v>
      </c>
      <c r="J13" s="3" t="n">
        <f aca="false">IF(A13="","",COUNTIF(Widget_Data!$A$5:$A$500,A13))</f>
        <v>1</v>
      </c>
      <c r="K13" s="3" t="str">
        <f aca="false">IF(OR(A13="",J13=0),"",INDEX(Widget_Data!$C$5:$C$500,MATCH(A13,Widget_Data!$A$5:$A$500,0)))</f>
        <v>Approved</v>
      </c>
    </row>
    <row r="14" customFormat="false" ht="15" hidden="false" customHeight="false" outlineLevel="0" collapsed="false">
      <c r="A14" s="14" t="s">
        <v>74</v>
      </c>
      <c r="B14" s="15" t="n">
        <v>46248</v>
      </c>
      <c r="C14" s="14" t="s">
        <v>53</v>
      </c>
      <c r="D14" s="14" t="s">
        <v>75</v>
      </c>
      <c r="E14" s="16" t="n">
        <v>560</v>
      </c>
      <c r="F14" s="3" t="n">
        <f aca="false">IF(A14="","",IF(AND(B14&gt;=Summary!$B$3,B14&lt;=Summary!$B$5),1,0))</f>
        <v>1</v>
      </c>
      <c r="G14" s="17" t="n">
        <f aca="false">IF(A14="","",SUMIFS(Widget_Data!$E$5:$E$500,Widget_Data!$A$5:$A$500,A14,Widget_Data!$C$5:$C$500,Summary!$B$4,Widget_Data!$D$5:$D$500,"&gt;="&amp;Summary!$B$3,Widget_Data!$D$5:$D$500,"&lt;="&amp;Summary!$B$5))</f>
        <v>560</v>
      </c>
      <c r="H14" s="3" t="str">
        <f aca="false">IF(A14="","",IF(AND(F14=1,G14&gt;0,ABS(E14-G14)&lt;0.005),"Matched",IF(AND(F14=1,G14&gt;0),"Amount differs",IF(AND(F14=1,J14=0),"Missing in widget",IF(AND(F14=1,K14&lt;&gt;Summary!$B$4),"In widget - not approved",IF(F14=1,"In widget - approved in other month",IF(G14&gt;0,"Counted by widget - cost dated other month","Out of month - not in widget")))))))</f>
        <v>Matched</v>
      </c>
      <c r="I14" s="17" t="n">
        <f aca="false">IF(A14="","",F14*E14-G14)</f>
        <v>0</v>
      </c>
      <c r="J14" s="3" t="n">
        <f aca="false">IF(A14="","",COUNTIF(Widget_Data!$A$5:$A$500,A14))</f>
        <v>1</v>
      </c>
      <c r="K14" s="3" t="str">
        <f aca="false">IF(OR(A14="",J14=0),"",INDEX(Widget_Data!$C$5:$C$500,MATCH(A14,Widget_Data!$A$5:$A$500,0)))</f>
        <v>Approved</v>
      </c>
    </row>
    <row r="15" customFormat="false" ht="15" hidden="false" customHeight="false" outlineLevel="0" collapsed="false">
      <c r="A15" s="14" t="s">
        <v>76</v>
      </c>
      <c r="B15" s="15" t="n">
        <v>46251</v>
      </c>
      <c r="C15" s="14" t="s">
        <v>58</v>
      </c>
      <c r="D15" s="14" t="s">
        <v>77</v>
      </c>
      <c r="E15" s="16" t="n">
        <v>3015.2</v>
      </c>
      <c r="F15" s="3" t="n">
        <f aca="false">IF(A15="","",IF(AND(B15&gt;=Summary!$B$3,B15&lt;=Summary!$B$5),1,0))</f>
        <v>1</v>
      </c>
      <c r="G15" s="17" t="n">
        <f aca="false">IF(A15="","",SUMIFS(Widget_Data!$E$5:$E$500,Widget_Data!$A$5:$A$500,A15,Widget_Data!$C$5:$C$500,Summary!$B$4,Widget_Data!$D$5:$D$500,"&gt;="&amp;Summary!$B$3,Widget_Data!$D$5:$D$500,"&lt;="&amp;Summary!$B$5))</f>
        <v>3015.2</v>
      </c>
      <c r="H15" s="3" t="str">
        <f aca="false">IF(A15="","",IF(AND(F15=1,G15&gt;0,ABS(E15-G15)&lt;0.005),"Matched",IF(AND(F15=1,G15&gt;0),"Amount differs",IF(AND(F15=1,J15=0),"Missing in widget",IF(AND(F15=1,K15&lt;&gt;Summary!$B$4),"In widget - not approved",IF(F15=1,"In widget - approved in other month",IF(G15&gt;0,"Counted by widget - cost dated other month","Out of month - not in widget")))))))</f>
        <v>Matched</v>
      </c>
      <c r="I15" s="17" t="n">
        <f aca="false">IF(A15="","",F15*E15-G15)</f>
        <v>0</v>
      </c>
      <c r="J15" s="3" t="n">
        <f aca="false">IF(A15="","",COUNTIF(Widget_Data!$A$5:$A$500,A15))</f>
        <v>1</v>
      </c>
      <c r="K15" s="3" t="str">
        <f aca="false">IF(OR(A15="",J15=0),"",INDEX(Widget_Data!$C$5:$C$500,MATCH(A15,Widget_Data!$A$5:$A$500,0)))</f>
        <v>Approved</v>
      </c>
    </row>
    <row r="16" customFormat="false" ht="15" hidden="false" customHeight="false" outlineLevel="0" collapsed="false">
      <c r="A16" s="14" t="s">
        <v>78</v>
      </c>
      <c r="B16" s="15" t="n">
        <v>46252</v>
      </c>
      <c r="C16" s="14" t="s">
        <v>58</v>
      </c>
      <c r="D16" s="14" t="s">
        <v>79</v>
      </c>
      <c r="E16" s="16" t="n">
        <v>1250</v>
      </c>
      <c r="F16" s="3" t="n">
        <f aca="false">IF(A16="","",IF(AND(B16&gt;=Summary!$B$3,B16&lt;=Summary!$B$5),1,0))</f>
        <v>1</v>
      </c>
      <c r="G16" s="17" t="n">
        <f aca="false">IF(A16="","",SUMIFS(Widget_Data!$E$5:$E$500,Widget_Data!$A$5:$A$500,A16,Widget_Data!$C$5:$C$500,Summary!$B$4,Widget_Data!$D$5:$D$500,"&gt;="&amp;Summary!$B$3,Widget_Data!$D$5:$D$500,"&lt;="&amp;Summary!$B$5))</f>
        <v>1205</v>
      </c>
      <c r="H16" s="3" t="str">
        <f aca="false">IF(A16="","",IF(AND(F16=1,G16&gt;0,ABS(E16-G16)&lt;0.005),"Matched",IF(AND(F16=1,G16&gt;0),"Amount differs",IF(AND(F16=1,J16=0),"Missing in widget",IF(AND(F16=1,K16&lt;&gt;Summary!$B$4),"In widget - not approved",IF(F16=1,"In widget - approved in other month",IF(G16&gt;0,"Counted by widget - cost dated other month","Out of month - not in widget")))))))</f>
        <v>Amount differs</v>
      </c>
      <c r="I16" s="17" t="n">
        <f aca="false">IF(A16="","",F16*E16-G16)</f>
        <v>45</v>
      </c>
      <c r="J16" s="3" t="n">
        <f aca="false">IF(A16="","",COUNTIF(Widget_Data!$A$5:$A$500,A16))</f>
        <v>1</v>
      </c>
      <c r="K16" s="3" t="str">
        <f aca="false">IF(OR(A16="",J16=0),"",INDEX(Widget_Data!$C$5:$C$500,MATCH(A16,Widget_Data!$A$5:$A$500,0)))</f>
        <v>Approved</v>
      </c>
    </row>
    <row r="17" customFormat="false" ht="15" hidden="false" customHeight="false" outlineLevel="0" collapsed="false">
      <c r="A17" s="14" t="s">
        <v>80</v>
      </c>
      <c r="B17" s="15" t="n">
        <v>46253</v>
      </c>
      <c r="C17" s="14" t="s">
        <v>63</v>
      </c>
      <c r="D17" s="14" t="s">
        <v>81</v>
      </c>
      <c r="E17" s="16" t="n">
        <v>87.65</v>
      </c>
      <c r="F17" s="3" t="n">
        <f aca="false">IF(A17="","",IF(AND(B17&gt;=Summary!$B$3,B17&lt;=Summary!$B$5),1,0))</f>
        <v>1</v>
      </c>
      <c r="G17" s="17" t="n">
        <f aca="false">IF(A17="","",SUMIFS(Widget_Data!$E$5:$E$500,Widget_Data!$A$5:$A$500,A17,Widget_Data!$C$5:$C$500,Summary!$B$4,Widget_Data!$D$5:$D$500,"&gt;="&amp;Summary!$B$3,Widget_Data!$D$5:$D$500,"&lt;="&amp;Summary!$B$5))</f>
        <v>87.65</v>
      </c>
      <c r="H17" s="3" t="str">
        <f aca="false">IF(A17="","",IF(AND(F17=1,G17&gt;0,ABS(E17-G17)&lt;0.005),"Matched",IF(AND(F17=1,G17&gt;0),"Amount differs",IF(AND(F17=1,J17=0),"Missing in widget",IF(AND(F17=1,K17&lt;&gt;Summary!$B$4),"In widget - not approved",IF(F17=1,"In widget - approved in other month",IF(G17&gt;0,"Counted by widget - cost dated other month","Out of month - not in widget")))))))</f>
        <v>Matched</v>
      </c>
      <c r="I17" s="17" t="n">
        <f aca="false">IF(A17="","",F17*E17-G17)</f>
        <v>0</v>
      </c>
      <c r="J17" s="3" t="n">
        <f aca="false">IF(A17="","",COUNTIF(Widget_Data!$A$5:$A$500,A17))</f>
        <v>1</v>
      </c>
      <c r="K17" s="3" t="str">
        <f aca="false">IF(OR(A17="",J17=0),"",INDEX(Widget_Data!$C$5:$C$500,MATCH(A17,Widget_Data!$A$5:$A$500,0)))</f>
        <v>Approved</v>
      </c>
    </row>
    <row r="18" customFormat="false" ht="15" hidden="false" customHeight="false" outlineLevel="0" collapsed="false">
      <c r="A18" s="14" t="s">
        <v>82</v>
      </c>
      <c r="B18" s="15" t="n">
        <v>46254</v>
      </c>
      <c r="C18" s="14" t="s">
        <v>68</v>
      </c>
      <c r="D18" s="14" t="s">
        <v>83</v>
      </c>
      <c r="E18" s="16" t="n">
        <v>2640</v>
      </c>
      <c r="F18" s="3" t="n">
        <f aca="false">IF(A18="","",IF(AND(B18&gt;=Summary!$B$3,B18&lt;=Summary!$B$5),1,0))</f>
        <v>1</v>
      </c>
      <c r="G18" s="17" t="n">
        <f aca="false">IF(A18="","",SUMIFS(Widget_Data!$E$5:$E$500,Widget_Data!$A$5:$A$500,A18,Widget_Data!$C$5:$C$500,Summary!$B$4,Widget_Data!$D$5:$D$500,"&gt;="&amp;Summary!$B$3,Widget_Data!$D$5:$D$500,"&lt;="&amp;Summary!$B$5))</f>
        <v>2640</v>
      </c>
      <c r="H18" s="3" t="str">
        <f aca="false">IF(A18="","",IF(AND(F18=1,G18&gt;0,ABS(E18-G18)&lt;0.005),"Matched",IF(AND(F18=1,G18&gt;0),"Amount differs",IF(AND(F18=1,J18=0),"Missing in widget",IF(AND(F18=1,K18&lt;&gt;Summary!$B$4),"In widget - not approved",IF(F18=1,"In widget - approved in other month",IF(G18&gt;0,"Counted by widget - cost dated other month","Out of month - not in widget")))))))</f>
        <v>Matched</v>
      </c>
      <c r="I18" s="17" t="n">
        <f aca="false">IF(A18="","",F18*E18-G18)</f>
        <v>0</v>
      </c>
      <c r="J18" s="3" t="n">
        <f aca="false">IF(A18="","",COUNTIF(Widget_Data!$A$5:$A$500,A18))</f>
        <v>1</v>
      </c>
      <c r="K18" s="3" t="str">
        <f aca="false">IF(OR(A18="",J18=0),"",INDEX(Widget_Data!$C$5:$C$500,MATCH(A18,Widget_Data!$A$5:$A$500,0)))</f>
        <v>Approved</v>
      </c>
    </row>
    <row r="19" customFormat="false" ht="15" hidden="false" customHeight="false" outlineLevel="0" collapsed="false">
      <c r="A19" s="14" t="s">
        <v>84</v>
      </c>
      <c r="B19" s="15" t="n">
        <v>46255</v>
      </c>
      <c r="C19" s="14" t="s">
        <v>53</v>
      </c>
      <c r="D19" s="14" t="s">
        <v>85</v>
      </c>
      <c r="E19" s="16" t="n">
        <v>715</v>
      </c>
      <c r="F19" s="3" t="n">
        <f aca="false">IF(A19="","",IF(AND(B19&gt;=Summary!$B$3,B19&lt;=Summary!$B$5),1,0))</f>
        <v>1</v>
      </c>
      <c r="G19" s="17" t="n">
        <f aca="false">IF(A19="","",SUMIFS(Widget_Data!$E$5:$E$500,Widget_Data!$A$5:$A$500,A19,Widget_Data!$C$5:$C$500,Summary!$B$4,Widget_Data!$D$5:$D$500,"&gt;="&amp;Summary!$B$3,Widget_Data!$D$5:$D$500,"&lt;="&amp;Summary!$B$5))</f>
        <v>0</v>
      </c>
      <c r="H19" s="3" t="str">
        <f aca="false">IF(A19="","",IF(AND(F19=1,G19&gt;0,ABS(E19-G19)&lt;0.005),"Matched",IF(AND(F19=1,G19&gt;0),"Amount differs",IF(AND(F19=1,J19=0),"Missing in widget",IF(AND(F19=1,K19&lt;&gt;Summary!$B$4),"In widget - not approved",IF(F19=1,"In widget - approved in other month",IF(G19&gt;0,"Counted by widget - cost dated other month","Out of month - not in widget")))))))</f>
        <v>In widget - not approved</v>
      </c>
      <c r="I19" s="17" t="n">
        <f aca="false">IF(A19="","",F19*E19-G19)</f>
        <v>715</v>
      </c>
      <c r="J19" s="3" t="n">
        <f aca="false">IF(A19="","",COUNTIF(Widget_Data!$A$5:$A$500,A19))</f>
        <v>1</v>
      </c>
      <c r="K19" s="3" t="str">
        <f aca="false">IF(OR(A19="",J19=0),"",INDEX(Widget_Data!$C$5:$C$500,MATCH(A19,Widget_Data!$A$5:$A$500,0)))</f>
        <v>Pending</v>
      </c>
    </row>
    <row r="20" customFormat="false" ht="15" hidden="false" customHeight="false" outlineLevel="0" collapsed="false">
      <c r="A20" s="14" t="s">
        <v>86</v>
      </c>
      <c r="B20" s="15" t="n">
        <v>46258</v>
      </c>
      <c r="C20" s="14" t="s">
        <v>53</v>
      </c>
      <c r="D20" s="14" t="s">
        <v>87</v>
      </c>
      <c r="E20" s="16" t="n">
        <v>1980.3</v>
      </c>
      <c r="F20" s="3" t="n">
        <f aca="false">IF(A20="","",IF(AND(B20&gt;=Summary!$B$3,B20&lt;=Summary!$B$5),1,0))</f>
        <v>1</v>
      </c>
      <c r="G20" s="17" t="n">
        <f aca="false">IF(A20="","",SUMIFS(Widget_Data!$E$5:$E$500,Widget_Data!$A$5:$A$500,A20,Widget_Data!$C$5:$C$500,Summary!$B$4,Widget_Data!$D$5:$D$500,"&gt;="&amp;Summary!$B$3,Widget_Data!$D$5:$D$500,"&lt;="&amp;Summary!$B$5))</f>
        <v>1980.3</v>
      </c>
      <c r="H20" s="3" t="str">
        <f aca="false">IF(A20="","",IF(AND(F20=1,G20&gt;0,ABS(E20-G20)&lt;0.005),"Matched",IF(AND(F20=1,G20&gt;0),"Amount differs",IF(AND(F20=1,J20=0),"Missing in widget",IF(AND(F20=1,K20&lt;&gt;Summary!$B$4),"In widget - not approved",IF(F20=1,"In widget - approved in other month",IF(G20&gt;0,"Counted by widget - cost dated other month","Out of month - not in widget")))))))</f>
        <v>Matched</v>
      </c>
      <c r="I20" s="17" t="n">
        <f aca="false">IF(A20="","",F20*E20-G20)</f>
        <v>0</v>
      </c>
      <c r="J20" s="3" t="n">
        <f aca="false">IF(A20="","",COUNTIF(Widget_Data!$A$5:$A$500,A20))</f>
        <v>1</v>
      </c>
      <c r="K20" s="3" t="str">
        <f aca="false">IF(OR(A20="",J20=0),"",INDEX(Widget_Data!$C$5:$C$500,MATCH(A20,Widget_Data!$A$5:$A$500,0)))</f>
        <v>Approved</v>
      </c>
    </row>
    <row r="21" customFormat="false" ht="15" hidden="false" customHeight="false" outlineLevel="0" collapsed="false">
      <c r="A21" s="14" t="s">
        <v>88</v>
      </c>
      <c r="B21" s="15" t="n">
        <v>46259</v>
      </c>
      <c r="C21" s="14" t="s">
        <v>58</v>
      </c>
      <c r="D21" s="14" t="s">
        <v>89</v>
      </c>
      <c r="E21" s="16" t="n">
        <v>455</v>
      </c>
      <c r="F21" s="3" t="n">
        <f aca="false">IF(A21="","",IF(AND(B21&gt;=Summary!$B$3,B21&lt;=Summary!$B$5),1,0))</f>
        <v>1</v>
      </c>
      <c r="G21" s="17" t="n">
        <f aca="false">IF(A21="","",SUMIFS(Widget_Data!$E$5:$E$500,Widget_Data!$A$5:$A$500,A21,Widget_Data!$C$5:$C$500,Summary!$B$4,Widget_Data!$D$5:$D$500,"&gt;="&amp;Summary!$B$3,Widget_Data!$D$5:$D$500,"&lt;="&amp;Summary!$B$5))</f>
        <v>455</v>
      </c>
      <c r="H21" s="3" t="str">
        <f aca="false">IF(A21="","",IF(AND(F21=1,G21&gt;0,ABS(E21-G21)&lt;0.005),"Matched",IF(AND(F21=1,G21&gt;0),"Amount differs",IF(AND(F21=1,J21=0),"Missing in widget",IF(AND(F21=1,K21&lt;&gt;Summary!$B$4),"In widget - not approved",IF(F21=1,"In widget - approved in other month",IF(G21&gt;0,"Counted by widget - cost dated other month","Out of month - not in widget")))))))</f>
        <v>Matched</v>
      </c>
      <c r="I21" s="17" t="n">
        <f aca="false">IF(A21="","",F21*E21-G21)</f>
        <v>0</v>
      </c>
      <c r="J21" s="3" t="n">
        <f aca="false">IF(A21="","",COUNTIF(Widget_Data!$A$5:$A$500,A21))</f>
        <v>1</v>
      </c>
      <c r="K21" s="3" t="str">
        <f aca="false">IF(OR(A21="",J21=0),"",INDEX(Widget_Data!$C$5:$C$500,MATCH(A21,Widget_Data!$A$5:$A$500,0)))</f>
        <v>Approved</v>
      </c>
    </row>
    <row r="22" customFormat="false" ht="15" hidden="false" customHeight="false" outlineLevel="0" collapsed="false">
      <c r="A22" s="14" t="s">
        <v>90</v>
      </c>
      <c r="B22" s="15" t="n">
        <v>46265</v>
      </c>
      <c r="C22" s="14" t="s">
        <v>68</v>
      </c>
      <c r="D22" s="14" t="s">
        <v>91</v>
      </c>
      <c r="E22" s="16" t="n">
        <v>1320</v>
      </c>
      <c r="F22" s="3" t="n">
        <f aca="false">IF(A22="","",IF(AND(B22&gt;=Summary!$B$3,B22&lt;=Summary!$B$5),1,0))</f>
        <v>1</v>
      </c>
      <c r="G22" s="17" t="n">
        <f aca="false">IF(A22="","",SUMIFS(Widget_Data!$E$5:$E$500,Widget_Data!$A$5:$A$500,A22,Widget_Data!$C$5:$C$500,Summary!$B$4,Widget_Data!$D$5:$D$500,"&gt;="&amp;Summary!$B$3,Widget_Data!$D$5:$D$500,"&lt;="&amp;Summary!$B$5))</f>
        <v>0</v>
      </c>
      <c r="H22" s="3" t="str">
        <f aca="false">IF(A22="","",IF(AND(F22=1,G22&gt;0,ABS(E22-G22)&lt;0.005),"Matched",IF(AND(F22=1,G22&gt;0),"Amount differs",IF(AND(F22=1,J22=0),"Missing in widget",IF(AND(F22=1,K22&lt;&gt;Summary!$B$4),"In widget - not approved",IF(F22=1,"In widget - approved in other month",IF(G22&gt;0,"Counted by widget - cost dated other month","Out of month - not in widget")))))))</f>
        <v>In widget - approved in other month</v>
      </c>
      <c r="I22" s="17" t="n">
        <f aca="false">IF(A22="","",F22*E22-G22)</f>
        <v>1320</v>
      </c>
      <c r="J22" s="3" t="n">
        <f aca="false">IF(A22="","",COUNTIF(Widget_Data!$A$5:$A$500,A22))</f>
        <v>1</v>
      </c>
      <c r="K22" s="3" t="str">
        <f aca="false">IF(OR(A22="",J22=0),"",INDEX(Widget_Data!$C$5:$C$500,MATCH(A22,Widget_Data!$A$5:$A$500,0)))</f>
        <v>Approved</v>
      </c>
    </row>
    <row r="23" customFormat="false" ht="15" hidden="false" customHeight="false" outlineLevel="0" collapsed="false">
      <c r="A23" s="14" t="s">
        <v>92</v>
      </c>
      <c r="B23" s="15" t="n">
        <v>46261</v>
      </c>
      <c r="C23" s="14" t="s">
        <v>63</v>
      </c>
      <c r="D23" s="14" t="s">
        <v>93</v>
      </c>
      <c r="E23" s="16" t="n">
        <v>610.1</v>
      </c>
      <c r="F23" s="3" t="n">
        <f aca="false">IF(A23="","",IF(AND(B23&gt;=Summary!$B$3,B23&lt;=Summary!$B$5),1,0))</f>
        <v>1</v>
      </c>
      <c r="G23" s="17" t="n">
        <f aca="false">IF(A23="","",SUMIFS(Widget_Data!$E$5:$E$500,Widget_Data!$A$5:$A$500,A23,Widget_Data!$C$5:$C$500,Summary!$B$4,Widget_Data!$D$5:$D$500,"&gt;="&amp;Summary!$B$3,Widget_Data!$D$5:$D$500,"&lt;="&amp;Summary!$B$5))</f>
        <v>610.1</v>
      </c>
      <c r="H23" s="3" t="str">
        <f aca="false">IF(A23="","",IF(AND(F23=1,G23&gt;0,ABS(E23-G23)&lt;0.005),"Matched",IF(AND(F23=1,G23&gt;0),"Amount differs",IF(AND(F23=1,J23=0),"Missing in widget",IF(AND(F23=1,K23&lt;&gt;Summary!$B$4),"In widget - not approved",IF(F23=1,"In widget - approved in other month",IF(G23&gt;0,"Counted by widget - cost dated other month","Out of month - not in widget")))))))</f>
        <v>Matched</v>
      </c>
      <c r="I23" s="17" t="n">
        <f aca="false">IF(A23="","",F23*E23-G23)</f>
        <v>0</v>
      </c>
      <c r="J23" s="3" t="n">
        <f aca="false">IF(A23="","",COUNTIF(Widget_Data!$A$5:$A$500,A23))</f>
        <v>1</v>
      </c>
      <c r="K23" s="3" t="str">
        <f aca="false">IF(OR(A23="",J23=0),"",INDEX(Widget_Data!$C$5:$C$500,MATCH(A23,Widget_Data!$A$5:$A$500,0)))</f>
        <v>Approved</v>
      </c>
    </row>
    <row r="24" customFormat="false" ht="15" hidden="false" customHeight="false" outlineLevel="0" collapsed="false">
      <c r="A24" s="14" t="s">
        <v>94</v>
      </c>
      <c r="B24" s="15" t="n">
        <v>46262</v>
      </c>
      <c r="C24" s="14" t="s">
        <v>68</v>
      </c>
      <c r="D24" s="14" t="s">
        <v>95</v>
      </c>
      <c r="E24" s="16" t="n">
        <v>2095</v>
      </c>
      <c r="F24" s="3" t="n">
        <f aca="false">IF(A24="","",IF(AND(B24&gt;=Summary!$B$3,B24&lt;=Summary!$B$5),1,0))</f>
        <v>1</v>
      </c>
      <c r="G24" s="17" t="n">
        <f aca="false">IF(A24="","",SUMIFS(Widget_Data!$E$5:$E$500,Widget_Data!$A$5:$A$500,A24,Widget_Data!$C$5:$C$500,Summary!$B$4,Widget_Data!$D$5:$D$500,"&gt;="&amp;Summary!$B$3,Widget_Data!$D$5:$D$500,"&lt;="&amp;Summary!$B$5))</f>
        <v>4190</v>
      </c>
      <c r="H24" s="3" t="str">
        <f aca="false">IF(A24="","",IF(AND(F24=1,G24&gt;0,ABS(E24-G24)&lt;0.005),"Matched",IF(AND(F24=1,G24&gt;0),"Amount differs",IF(AND(F24=1,J24=0),"Missing in widget",IF(AND(F24=1,K24&lt;&gt;Summary!$B$4),"In widget - not approved",IF(F24=1,"In widget - approved in other month",IF(G24&gt;0,"Counted by widget - cost dated other month","Out of month - not in widget")))))))</f>
        <v>Amount differs</v>
      </c>
      <c r="I24" s="17" t="n">
        <f aca="false">IF(A24="","",F24*E24-G24)</f>
        <v>-2095</v>
      </c>
      <c r="J24" s="3" t="n">
        <f aca="false">IF(A24="","",COUNTIF(Widget_Data!$A$5:$A$500,A24))</f>
        <v>2</v>
      </c>
      <c r="K24" s="3" t="str">
        <f aca="false">IF(OR(A24="",J24=0),"",INDEX(Widget_Data!$C$5:$C$500,MATCH(A24,Widget_Data!$A$5:$A$500,0)))</f>
        <v>Approved</v>
      </c>
    </row>
    <row r="25" customFormat="false" ht="15" hidden="false" customHeight="false" outlineLevel="0" collapsed="false">
      <c r="A25" s="14" t="s">
        <v>96</v>
      </c>
      <c r="B25" s="15" t="n">
        <v>46267</v>
      </c>
      <c r="C25" s="14" t="s">
        <v>53</v>
      </c>
      <c r="D25" s="14" t="s">
        <v>97</v>
      </c>
      <c r="E25" s="16" t="n">
        <v>530</v>
      </c>
      <c r="F25" s="3" t="n">
        <f aca="false">IF(A25="","",IF(AND(B25&gt;=Summary!$B$3,B25&lt;=Summary!$B$5),1,0))</f>
        <v>0</v>
      </c>
      <c r="G25" s="17" t="n">
        <f aca="false">IF(A25="","",SUMIFS(Widget_Data!$E$5:$E$500,Widget_Data!$A$5:$A$500,A25,Widget_Data!$C$5:$C$500,Summary!$B$4,Widget_Data!$D$5:$D$500,"&gt;="&amp;Summary!$B$3,Widget_Data!$D$5:$D$500,"&lt;="&amp;Summary!$B$5))</f>
        <v>0</v>
      </c>
      <c r="H25" s="3" t="str">
        <f aca="false">IF(A25="","",IF(AND(F25=1,G25&gt;0,ABS(E25-G25)&lt;0.005),"Matched",IF(AND(F25=1,G25&gt;0),"Amount differs",IF(AND(F25=1,J25=0),"Missing in widget",IF(AND(F25=1,K25&lt;&gt;Summary!$B$4),"In widget - not approved",IF(F25=1,"In widget - approved in other month",IF(G25&gt;0,"Counted by widget - cost dated other month","Out of month - not in widget")))))))</f>
        <v>Out of month - not in widget</v>
      </c>
      <c r="I25" s="17" t="n">
        <f aca="false">IF(A25="","",F25*E25-G25)</f>
        <v>0</v>
      </c>
      <c r="J25" s="3" t="n">
        <f aca="false">IF(A25="","",COUNTIF(Widget_Data!$A$5:$A$500,A25))</f>
        <v>0</v>
      </c>
      <c r="K25" s="3" t="str">
        <f aca="false">IF(OR(A25="",J25=0),"",INDEX(Widget_Data!$C$5:$C$500,MATCH(A25,Widget_Data!$A$5:$A$500,0)))</f>
        <v/>
      </c>
    </row>
    <row r="26" customFormat="false" ht="15" hidden="false" customHeight="false" outlineLevel="0" collapsed="false">
      <c r="A26" s="14" t="s">
        <v>98</v>
      </c>
      <c r="B26" s="15" t="n">
        <v>46260</v>
      </c>
      <c r="C26" s="14" t="s">
        <v>58</v>
      </c>
      <c r="D26" s="14" t="s">
        <v>99</v>
      </c>
      <c r="E26" s="16" t="n">
        <v>275.25</v>
      </c>
      <c r="F26" s="3" t="n">
        <f aca="false">IF(A26="","",IF(AND(B26&gt;=Summary!$B$3,B26&lt;=Summary!$B$5),1,0))</f>
        <v>1</v>
      </c>
      <c r="G26" s="17" t="n">
        <f aca="false">IF(A26="","",SUMIFS(Widget_Data!$E$5:$E$500,Widget_Data!$A$5:$A$500,A26,Widget_Data!$C$5:$C$500,Summary!$B$4,Widget_Data!$D$5:$D$500,"&gt;="&amp;Summary!$B$3,Widget_Data!$D$5:$D$500,"&lt;="&amp;Summary!$B$5))</f>
        <v>275.25</v>
      </c>
      <c r="H26" s="3" t="str">
        <f aca="false">IF(A26="","",IF(AND(F26=1,G26&gt;0,ABS(E26-G26)&lt;0.005),"Matched",IF(AND(F26=1,G26&gt;0),"Amount differs",IF(AND(F26=1,J26=0),"Missing in widget",IF(AND(F26=1,K26&lt;&gt;Summary!$B$4),"In widget - not approved",IF(F26=1,"In widget - approved in other month",IF(G26&gt;0,"Counted by widget - cost dated other month","Out of month - not in widget")))))))</f>
        <v>Matched</v>
      </c>
      <c r="I26" s="17" t="n">
        <f aca="false">IF(A26="","",F26*E26-G26)</f>
        <v>0</v>
      </c>
      <c r="J26" s="3" t="n">
        <f aca="false">IF(A26="","",COUNTIF(Widget_Data!$A$5:$A$500,A26))</f>
        <v>1</v>
      </c>
      <c r="K26" s="3" t="str">
        <f aca="false">IF(OR(A26="",J26=0),"",INDEX(Widget_Data!$C$5:$C$500,MATCH(A26,Widget_Data!$A$5:$A$500,0)))</f>
        <v>Approved</v>
      </c>
    </row>
    <row r="27" customFormat="false" ht="15" hidden="false" customHeight="false" outlineLevel="0" collapsed="false">
      <c r="F27" s="3" t="str">
        <f aca="false">IF(A27="","",IF(AND(B27&gt;=Summary!$B$3,B27&lt;=Summary!$B$5),1,0))</f>
        <v/>
      </c>
      <c r="G27" s="17" t="str">
        <f aca="false">IF(A27="","",SUMIFS(Widget_Data!$E$5:$E$500,Widget_Data!$A$5:$A$500,A27,Widget_Data!$C$5:$C$500,Summary!$B$4,Widget_Data!$D$5:$D$500,"&gt;="&amp;Summary!$B$3,Widget_Data!$D$5:$D$500,"&lt;="&amp;Summary!$B$5))</f>
        <v/>
      </c>
      <c r="H27" s="3" t="str">
        <f aca="false">IF(A27="","",IF(AND(F27=1,G27&gt;0,ABS(E27-G27)&lt;0.005),"Matched",IF(AND(F27=1,G27&gt;0),"Amount differs",IF(AND(F27=1,J27=0),"Missing in widget",IF(AND(F27=1,K27&lt;&gt;Summary!$B$4),"In widget - not approved",IF(F27=1,"In widget - approved in other month",IF(G27&gt;0,"Counted by widget - cost dated other month","Out of month - not in widget")))))))</f>
        <v/>
      </c>
      <c r="I27" s="17" t="str">
        <f aca="false">IF(A27="","",F27*E27-G27)</f>
        <v/>
      </c>
      <c r="J27" s="3" t="str">
        <f aca="false">IF(A27="","",COUNTIF(Widget_Data!$A$5:$A$500,A27))</f>
        <v/>
      </c>
      <c r="K27" s="3" t="str">
        <f aca="false">IF(OR(A27="",J27=0),"",INDEX(Widget_Data!$C$5:$C$500,MATCH(A27,Widget_Data!$A$5:$A$500,0)))</f>
        <v/>
      </c>
    </row>
    <row r="28" customFormat="false" ht="15" hidden="false" customHeight="false" outlineLevel="0" collapsed="false">
      <c r="F28" s="3" t="str">
        <f aca="false">IF(A28="","",IF(AND(B28&gt;=Summary!$B$3,B28&lt;=Summary!$B$5),1,0))</f>
        <v/>
      </c>
      <c r="G28" s="17" t="str">
        <f aca="false">IF(A28="","",SUMIFS(Widget_Data!$E$5:$E$500,Widget_Data!$A$5:$A$500,A28,Widget_Data!$C$5:$C$500,Summary!$B$4,Widget_Data!$D$5:$D$500,"&gt;="&amp;Summary!$B$3,Widget_Data!$D$5:$D$500,"&lt;="&amp;Summary!$B$5))</f>
        <v/>
      </c>
      <c r="H28" s="3" t="str">
        <f aca="false">IF(A28="","",IF(AND(F28=1,G28&gt;0,ABS(E28-G28)&lt;0.005),"Matched",IF(AND(F28=1,G28&gt;0),"Amount differs",IF(AND(F28=1,J28=0),"Missing in widget",IF(AND(F28=1,K28&lt;&gt;Summary!$B$4),"In widget - not approved",IF(F28=1,"In widget - approved in other month",IF(G28&gt;0,"Counted by widget - cost dated other month","Out of month - not in widget")))))))</f>
        <v/>
      </c>
      <c r="I28" s="17" t="str">
        <f aca="false">IF(A28="","",F28*E28-G28)</f>
        <v/>
      </c>
      <c r="J28" s="3" t="str">
        <f aca="false">IF(A28="","",COUNTIF(Widget_Data!$A$5:$A$500,A28))</f>
        <v/>
      </c>
      <c r="K28" s="3" t="str">
        <f aca="false">IF(OR(A28="",J28=0),"",INDEX(Widget_Data!$C$5:$C$500,MATCH(A28,Widget_Data!$A$5:$A$500,0)))</f>
        <v/>
      </c>
    </row>
    <row r="29" customFormat="false" ht="15" hidden="false" customHeight="false" outlineLevel="0" collapsed="false">
      <c r="F29" s="3" t="str">
        <f aca="false">IF(A29="","",IF(AND(B29&gt;=Summary!$B$3,B29&lt;=Summary!$B$5),1,0))</f>
        <v/>
      </c>
      <c r="G29" s="17" t="str">
        <f aca="false">IF(A29="","",SUMIFS(Widget_Data!$E$5:$E$500,Widget_Data!$A$5:$A$500,A29,Widget_Data!$C$5:$C$500,Summary!$B$4,Widget_Data!$D$5:$D$500,"&gt;="&amp;Summary!$B$3,Widget_Data!$D$5:$D$500,"&lt;="&amp;Summary!$B$5))</f>
        <v/>
      </c>
      <c r="H29" s="3" t="str">
        <f aca="false">IF(A29="","",IF(AND(F29=1,G29&gt;0,ABS(E29-G29)&lt;0.005),"Matched",IF(AND(F29=1,G29&gt;0),"Amount differs",IF(AND(F29=1,J29=0),"Missing in widget",IF(AND(F29=1,K29&lt;&gt;Summary!$B$4),"In widget - not approved",IF(F29=1,"In widget - approved in other month",IF(G29&gt;0,"Counted by widget - cost dated other month","Out of month - not in widget")))))))</f>
        <v/>
      </c>
      <c r="I29" s="17" t="str">
        <f aca="false">IF(A29="","",F29*E29-G29)</f>
        <v/>
      </c>
      <c r="J29" s="3" t="str">
        <f aca="false">IF(A29="","",COUNTIF(Widget_Data!$A$5:$A$500,A29))</f>
        <v/>
      </c>
      <c r="K29" s="3" t="str">
        <f aca="false">IF(OR(A29="",J29=0),"",INDEX(Widget_Data!$C$5:$C$500,MATCH(A29,Widget_Data!$A$5:$A$500,0)))</f>
        <v/>
      </c>
    </row>
    <row r="30" customFormat="false" ht="15" hidden="false" customHeight="false" outlineLevel="0" collapsed="false">
      <c r="F30" s="3" t="str">
        <f aca="false">IF(A30="","",IF(AND(B30&gt;=Summary!$B$3,B30&lt;=Summary!$B$5),1,0))</f>
        <v/>
      </c>
      <c r="G30" s="17" t="str">
        <f aca="false">IF(A30="","",SUMIFS(Widget_Data!$E$5:$E$500,Widget_Data!$A$5:$A$500,A30,Widget_Data!$C$5:$C$500,Summary!$B$4,Widget_Data!$D$5:$D$500,"&gt;="&amp;Summary!$B$3,Widget_Data!$D$5:$D$500,"&lt;="&amp;Summary!$B$5))</f>
        <v/>
      </c>
      <c r="H30" s="3" t="str">
        <f aca="false">IF(A30="","",IF(AND(F30=1,G30&gt;0,ABS(E30-G30)&lt;0.005),"Matched",IF(AND(F30=1,G30&gt;0),"Amount differs",IF(AND(F30=1,J30=0),"Missing in widget",IF(AND(F30=1,K30&lt;&gt;Summary!$B$4),"In widget - not approved",IF(F30=1,"In widget - approved in other month",IF(G30&gt;0,"Counted by widget - cost dated other month","Out of month - not in widget")))))))</f>
        <v/>
      </c>
      <c r="I30" s="17" t="str">
        <f aca="false">IF(A30="","",F30*E30-G30)</f>
        <v/>
      </c>
      <c r="J30" s="3" t="str">
        <f aca="false">IF(A30="","",COUNTIF(Widget_Data!$A$5:$A$500,A30))</f>
        <v/>
      </c>
      <c r="K30" s="3" t="str">
        <f aca="false">IF(OR(A30="",J30=0),"",INDEX(Widget_Data!$C$5:$C$500,MATCH(A30,Widget_Data!$A$5:$A$500,0)))</f>
        <v/>
      </c>
    </row>
    <row r="31" customFormat="false" ht="15" hidden="false" customHeight="false" outlineLevel="0" collapsed="false">
      <c r="F31" s="3" t="str">
        <f aca="false">IF(A31="","",IF(AND(B31&gt;=Summary!$B$3,B31&lt;=Summary!$B$5),1,0))</f>
        <v/>
      </c>
      <c r="G31" s="17" t="str">
        <f aca="false">IF(A31="","",SUMIFS(Widget_Data!$E$5:$E$500,Widget_Data!$A$5:$A$500,A31,Widget_Data!$C$5:$C$500,Summary!$B$4,Widget_Data!$D$5:$D$500,"&gt;="&amp;Summary!$B$3,Widget_Data!$D$5:$D$500,"&lt;="&amp;Summary!$B$5))</f>
        <v/>
      </c>
      <c r="H31" s="3" t="str">
        <f aca="false">IF(A31="","",IF(AND(F31=1,G31&gt;0,ABS(E31-G31)&lt;0.005),"Matched",IF(AND(F31=1,G31&gt;0),"Amount differs",IF(AND(F31=1,J31=0),"Missing in widget",IF(AND(F31=1,K31&lt;&gt;Summary!$B$4),"In widget - not approved",IF(F31=1,"In widget - approved in other month",IF(G31&gt;0,"Counted by widget - cost dated other month","Out of month - not in widget")))))))</f>
        <v/>
      </c>
      <c r="I31" s="17" t="str">
        <f aca="false">IF(A31="","",F31*E31-G31)</f>
        <v/>
      </c>
      <c r="J31" s="3" t="str">
        <f aca="false">IF(A31="","",COUNTIF(Widget_Data!$A$5:$A$500,A31))</f>
        <v/>
      </c>
      <c r="K31" s="3" t="str">
        <f aca="false">IF(OR(A31="",J31=0),"",INDEX(Widget_Data!$C$5:$C$500,MATCH(A31,Widget_Data!$A$5:$A$500,0)))</f>
        <v/>
      </c>
    </row>
    <row r="32" customFormat="false" ht="15" hidden="false" customHeight="false" outlineLevel="0" collapsed="false">
      <c r="F32" s="3" t="str">
        <f aca="false">IF(A32="","",IF(AND(B32&gt;=Summary!$B$3,B32&lt;=Summary!$B$5),1,0))</f>
        <v/>
      </c>
      <c r="G32" s="17" t="str">
        <f aca="false">IF(A32="","",SUMIFS(Widget_Data!$E$5:$E$500,Widget_Data!$A$5:$A$500,A32,Widget_Data!$C$5:$C$500,Summary!$B$4,Widget_Data!$D$5:$D$500,"&gt;="&amp;Summary!$B$3,Widget_Data!$D$5:$D$500,"&lt;="&amp;Summary!$B$5))</f>
        <v/>
      </c>
      <c r="H32" s="3" t="str">
        <f aca="false">IF(A32="","",IF(AND(F32=1,G32&gt;0,ABS(E32-G32)&lt;0.005),"Matched",IF(AND(F32=1,G32&gt;0),"Amount differs",IF(AND(F32=1,J32=0),"Missing in widget",IF(AND(F32=1,K32&lt;&gt;Summary!$B$4),"In widget - not approved",IF(F32=1,"In widget - approved in other month",IF(G32&gt;0,"Counted by widget - cost dated other month","Out of month - not in widget")))))))</f>
        <v/>
      </c>
      <c r="I32" s="17" t="str">
        <f aca="false">IF(A32="","",F32*E32-G32)</f>
        <v/>
      </c>
      <c r="J32" s="3" t="str">
        <f aca="false">IF(A32="","",COUNTIF(Widget_Data!$A$5:$A$500,A32))</f>
        <v/>
      </c>
      <c r="K32" s="3" t="str">
        <f aca="false">IF(OR(A32="",J32=0),"",INDEX(Widget_Data!$C$5:$C$500,MATCH(A32,Widget_Data!$A$5:$A$500,0)))</f>
        <v/>
      </c>
    </row>
    <row r="33" customFormat="false" ht="15" hidden="false" customHeight="false" outlineLevel="0" collapsed="false">
      <c r="F33" s="3" t="str">
        <f aca="false">IF(A33="","",IF(AND(B33&gt;=Summary!$B$3,B33&lt;=Summary!$B$5),1,0))</f>
        <v/>
      </c>
      <c r="G33" s="17" t="str">
        <f aca="false">IF(A33="","",SUMIFS(Widget_Data!$E$5:$E$500,Widget_Data!$A$5:$A$500,A33,Widget_Data!$C$5:$C$500,Summary!$B$4,Widget_Data!$D$5:$D$500,"&gt;="&amp;Summary!$B$3,Widget_Data!$D$5:$D$500,"&lt;="&amp;Summary!$B$5))</f>
        <v/>
      </c>
      <c r="H33" s="3" t="str">
        <f aca="false">IF(A33="","",IF(AND(F33=1,G33&gt;0,ABS(E33-G33)&lt;0.005),"Matched",IF(AND(F33=1,G33&gt;0),"Amount differs",IF(AND(F33=1,J33=0),"Missing in widget",IF(AND(F33=1,K33&lt;&gt;Summary!$B$4),"In widget - not approved",IF(F33=1,"In widget - approved in other month",IF(G33&gt;0,"Counted by widget - cost dated other month","Out of month - not in widget")))))))</f>
        <v/>
      </c>
      <c r="I33" s="17" t="str">
        <f aca="false">IF(A33="","",F33*E33-G33)</f>
        <v/>
      </c>
      <c r="J33" s="3" t="str">
        <f aca="false">IF(A33="","",COUNTIF(Widget_Data!$A$5:$A$500,A33))</f>
        <v/>
      </c>
      <c r="K33" s="3" t="str">
        <f aca="false">IF(OR(A33="",J33=0),"",INDEX(Widget_Data!$C$5:$C$500,MATCH(A33,Widget_Data!$A$5:$A$500,0)))</f>
        <v/>
      </c>
    </row>
    <row r="34" customFormat="false" ht="15" hidden="false" customHeight="false" outlineLevel="0" collapsed="false">
      <c r="F34" s="3" t="str">
        <f aca="false">IF(A34="","",IF(AND(B34&gt;=Summary!$B$3,B34&lt;=Summary!$B$5),1,0))</f>
        <v/>
      </c>
      <c r="G34" s="17" t="str">
        <f aca="false">IF(A34="","",SUMIFS(Widget_Data!$E$5:$E$500,Widget_Data!$A$5:$A$500,A34,Widget_Data!$C$5:$C$500,Summary!$B$4,Widget_Data!$D$5:$D$500,"&gt;="&amp;Summary!$B$3,Widget_Data!$D$5:$D$500,"&lt;="&amp;Summary!$B$5))</f>
        <v/>
      </c>
      <c r="H34" s="3" t="str">
        <f aca="false">IF(A34="","",IF(AND(F34=1,G34&gt;0,ABS(E34-G34)&lt;0.005),"Matched",IF(AND(F34=1,G34&gt;0),"Amount differs",IF(AND(F34=1,J34=0),"Missing in widget",IF(AND(F34=1,K34&lt;&gt;Summary!$B$4),"In widget - not approved",IF(F34=1,"In widget - approved in other month",IF(G34&gt;0,"Counted by widget - cost dated other month","Out of month - not in widget")))))))</f>
        <v/>
      </c>
      <c r="I34" s="17" t="str">
        <f aca="false">IF(A34="","",F34*E34-G34)</f>
        <v/>
      </c>
      <c r="J34" s="3" t="str">
        <f aca="false">IF(A34="","",COUNTIF(Widget_Data!$A$5:$A$500,A34))</f>
        <v/>
      </c>
      <c r="K34" s="3" t="str">
        <f aca="false">IF(OR(A34="",J34=0),"",INDEX(Widget_Data!$C$5:$C$500,MATCH(A34,Widget_Data!$A$5:$A$500,0)))</f>
        <v/>
      </c>
    </row>
    <row r="35" customFormat="false" ht="15" hidden="false" customHeight="false" outlineLevel="0" collapsed="false">
      <c r="F35" s="3" t="str">
        <f aca="false">IF(A35="","",IF(AND(B35&gt;=Summary!$B$3,B35&lt;=Summary!$B$5),1,0))</f>
        <v/>
      </c>
      <c r="G35" s="17" t="str">
        <f aca="false">IF(A35="","",SUMIFS(Widget_Data!$E$5:$E$500,Widget_Data!$A$5:$A$500,A35,Widget_Data!$C$5:$C$500,Summary!$B$4,Widget_Data!$D$5:$D$500,"&gt;="&amp;Summary!$B$3,Widget_Data!$D$5:$D$500,"&lt;="&amp;Summary!$B$5))</f>
        <v/>
      </c>
      <c r="H35" s="3" t="str">
        <f aca="false">IF(A35="","",IF(AND(F35=1,G35&gt;0,ABS(E35-G35)&lt;0.005),"Matched",IF(AND(F35=1,G35&gt;0),"Amount differs",IF(AND(F35=1,J35=0),"Missing in widget",IF(AND(F35=1,K35&lt;&gt;Summary!$B$4),"In widget - not approved",IF(F35=1,"In widget - approved in other month",IF(G35&gt;0,"Counted by widget - cost dated other month","Out of month - not in widget")))))))</f>
        <v/>
      </c>
      <c r="I35" s="17" t="str">
        <f aca="false">IF(A35="","",F35*E35-G35)</f>
        <v/>
      </c>
      <c r="J35" s="3" t="str">
        <f aca="false">IF(A35="","",COUNTIF(Widget_Data!$A$5:$A$500,A35))</f>
        <v/>
      </c>
      <c r="K35" s="3" t="str">
        <f aca="false">IF(OR(A35="",J35=0),"",INDEX(Widget_Data!$C$5:$C$500,MATCH(A35,Widget_Data!$A$5:$A$500,0)))</f>
        <v/>
      </c>
    </row>
    <row r="36" customFormat="false" ht="15" hidden="false" customHeight="false" outlineLevel="0" collapsed="false">
      <c r="F36" s="3" t="str">
        <f aca="false">IF(A36="","",IF(AND(B36&gt;=Summary!$B$3,B36&lt;=Summary!$B$5),1,0))</f>
        <v/>
      </c>
      <c r="G36" s="17" t="str">
        <f aca="false">IF(A36="","",SUMIFS(Widget_Data!$E$5:$E$500,Widget_Data!$A$5:$A$500,A36,Widget_Data!$C$5:$C$500,Summary!$B$4,Widget_Data!$D$5:$D$500,"&gt;="&amp;Summary!$B$3,Widget_Data!$D$5:$D$500,"&lt;="&amp;Summary!$B$5))</f>
        <v/>
      </c>
      <c r="H36" s="3" t="str">
        <f aca="false">IF(A36="","",IF(AND(F36=1,G36&gt;0,ABS(E36-G36)&lt;0.005),"Matched",IF(AND(F36=1,G36&gt;0),"Amount differs",IF(AND(F36=1,J36=0),"Missing in widget",IF(AND(F36=1,K36&lt;&gt;Summary!$B$4),"In widget - not approved",IF(F36=1,"In widget - approved in other month",IF(G36&gt;0,"Counted by widget - cost dated other month","Out of month - not in widget")))))))</f>
        <v/>
      </c>
      <c r="I36" s="17" t="str">
        <f aca="false">IF(A36="","",F36*E36-G36)</f>
        <v/>
      </c>
      <c r="J36" s="3" t="str">
        <f aca="false">IF(A36="","",COUNTIF(Widget_Data!$A$5:$A$500,A36))</f>
        <v/>
      </c>
      <c r="K36" s="3" t="str">
        <f aca="false">IF(OR(A36="",J36=0),"",INDEX(Widget_Data!$C$5:$C$500,MATCH(A36,Widget_Data!$A$5:$A$500,0)))</f>
        <v/>
      </c>
    </row>
    <row r="37" customFormat="false" ht="15" hidden="false" customHeight="false" outlineLevel="0" collapsed="false">
      <c r="F37" s="3" t="str">
        <f aca="false">IF(A37="","",IF(AND(B37&gt;=Summary!$B$3,B37&lt;=Summary!$B$5),1,0))</f>
        <v/>
      </c>
      <c r="G37" s="17" t="str">
        <f aca="false">IF(A37="","",SUMIFS(Widget_Data!$E$5:$E$500,Widget_Data!$A$5:$A$500,A37,Widget_Data!$C$5:$C$500,Summary!$B$4,Widget_Data!$D$5:$D$500,"&gt;="&amp;Summary!$B$3,Widget_Data!$D$5:$D$500,"&lt;="&amp;Summary!$B$5))</f>
        <v/>
      </c>
      <c r="H37" s="3" t="str">
        <f aca="false">IF(A37="","",IF(AND(F37=1,G37&gt;0,ABS(E37-G37)&lt;0.005),"Matched",IF(AND(F37=1,G37&gt;0),"Amount differs",IF(AND(F37=1,J37=0),"Missing in widget",IF(AND(F37=1,K37&lt;&gt;Summary!$B$4),"In widget - not approved",IF(F37=1,"In widget - approved in other month",IF(G37&gt;0,"Counted by widget - cost dated other month","Out of month - not in widget")))))))</f>
        <v/>
      </c>
      <c r="I37" s="17" t="str">
        <f aca="false">IF(A37="","",F37*E37-G37)</f>
        <v/>
      </c>
      <c r="J37" s="3" t="str">
        <f aca="false">IF(A37="","",COUNTIF(Widget_Data!$A$5:$A$500,A37))</f>
        <v/>
      </c>
      <c r="K37" s="3" t="str">
        <f aca="false">IF(OR(A37="",J37=0),"",INDEX(Widget_Data!$C$5:$C$500,MATCH(A37,Widget_Data!$A$5:$A$500,0)))</f>
        <v/>
      </c>
    </row>
    <row r="38" customFormat="false" ht="15" hidden="false" customHeight="false" outlineLevel="0" collapsed="false">
      <c r="F38" s="3" t="str">
        <f aca="false">IF(A38="","",IF(AND(B38&gt;=Summary!$B$3,B38&lt;=Summary!$B$5),1,0))</f>
        <v/>
      </c>
      <c r="G38" s="17" t="str">
        <f aca="false">IF(A38="","",SUMIFS(Widget_Data!$E$5:$E$500,Widget_Data!$A$5:$A$500,A38,Widget_Data!$C$5:$C$500,Summary!$B$4,Widget_Data!$D$5:$D$500,"&gt;="&amp;Summary!$B$3,Widget_Data!$D$5:$D$500,"&lt;="&amp;Summary!$B$5))</f>
        <v/>
      </c>
      <c r="H38" s="3" t="str">
        <f aca="false">IF(A38="","",IF(AND(F38=1,G38&gt;0,ABS(E38-G38)&lt;0.005),"Matched",IF(AND(F38=1,G38&gt;0),"Amount differs",IF(AND(F38=1,J38=0),"Missing in widget",IF(AND(F38=1,K38&lt;&gt;Summary!$B$4),"In widget - not approved",IF(F38=1,"In widget - approved in other month",IF(G38&gt;0,"Counted by widget - cost dated other month","Out of month - not in widget")))))))</f>
        <v/>
      </c>
      <c r="I38" s="17" t="str">
        <f aca="false">IF(A38="","",F38*E38-G38)</f>
        <v/>
      </c>
      <c r="J38" s="3" t="str">
        <f aca="false">IF(A38="","",COUNTIF(Widget_Data!$A$5:$A$500,A38))</f>
        <v/>
      </c>
      <c r="K38" s="3" t="str">
        <f aca="false">IF(OR(A38="",J38=0),"",INDEX(Widget_Data!$C$5:$C$500,MATCH(A38,Widget_Data!$A$5:$A$500,0)))</f>
        <v/>
      </c>
    </row>
    <row r="39" customFormat="false" ht="15" hidden="false" customHeight="false" outlineLevel="0" collapsed="false">
      <c r="F39" s="3" t="str">
        <f aca="false">IF(A39="","",IF(AND(B39&gt;=Summary!$B$3,B39&lt;=Summary!$B$5),1,0))</f>
        <v/>
      </c>
      <c r="G39" s="17" t="str">
        <f aca="false">IF(A39="","",SUMIFS(Widget_Data!$E$5:$E$500,Widget_Data!$A$5:$A$500,A39,Widget_Data!$C$5:$C$500,Summary!$B$4,Widget_Data!$D$5:$D$500,"&gt;="&amp;Summary!$B$3,Widget_Data!$D$5:$D$500,"&lt;="&amp;Summary!$B$5))</f>
        <v/>
      </c>
      <c r="H39" s="3" t="str">
        <f aca="false">IF(A39="","",IF(AND(F39=1,G39&gt;0,ABS(E39-G39)&lt;0.005),"Matched",IF(AND(F39=1,G39&gt;0),"Amount differs",IF(AND(F39=1,J39=0),"Missing in widget",IF(AND(F39=1,K39&lt;&gt;Summary!$B$4),"In widget - not approved",IF(F39=1,"In widget - approved in other month",IF(G39&gt;0,"Counted by widget - cost dated other month","Out of month - not in widget")))))))</f>
        <v/>
      </c>
      <c r="I39" s="17" t="str">
        <f aca="false">IF(A39="","",F39*E39-G39)</f>
        <v/>
      </c>
      <c r="J39" s="3" t="str">
        <f aca="false">IF(A39="","",COUNTIF(Widget_Data!$A$5:$A$500,A39))</f>
        <v/>
      </c>
      <c r="K39" s="3" t="str">
        <f aca="false">IF(OR(A39="",J39=0),"",INDEX(Widget_Data!$C$5:$C$500,MATCH(A39,Widget_Data!$A$5:$A$500,0)))</f>
        <v/>
      </c>
    </row>
    <row r="40" customFormat="false" ht="15" hidden="false" customHeight="false" outlineLevel="0" collapsed="false">
      <c r="F40" s="3" t="str">
        <f aca="false">IF(A40="","",IF(AND(B40&gt;=Summary!$B$3,B40&lt;=Summary!$B$5),1,0))</f>
        <v/>
      </c>
      <c r="G40" s="17" t="str">
        <f aca="false">IF(A40="","",SUMIFS(Widget_Data!$E$5:$E$500,Widget_Data!$A$5:$A$500,A40,Widget_Data!$C$5:$C$500,Summary!$B$4,Widget_Data!$D$5:$D$500,"&gt;="&amp;Summary!$B$3,Widget_Data!$D$5:$D$500,"&lt;="&amp;Summary!$B$5))</f>
        <v/>
      </c>
      <c r="H40" s="3" t="str">
        <f aca="false">IF(A40="","",IF(AND(F40=1,G40&gt;0,ABS(E40-G40)&lt;0.005),"Matched",IF(AND(F40=1,G40&gt;0),"Amount differs",IF(AND(F40=1,J40=0),"Missing in widget",IF(AND(F40=1,K40&lt;&gt;Summary!$B$4),"In widget - not approved",IF(F40=1,"In widget - approved in other month",IF(G40&gt;0,"Counted by widget - cost dated other month","Out of month - not in widget")))))))</f>
        <v/>
      </c>
      <c r="I40" s="17" t="str">
        <f aca="false">IF(A40="","",F40*E40-G40)</f>
        <v/>
      </c>
      <c r="J40" s="3" t="str">
        <f aca="false">IF(A40="","",COUNTIF(Widget_Data!$A$5:$A$500,A40))</f>
        <v/>
      </c>
      <c r="K40" s="3" t="str">
        <f aca="false">IF(OR(A40="",J40=0),"",INDEX(Widget_Data!$C$5:$C$500,MATCH(A40,Widget_Data!$A$5:$A$500,0)))</f>
        <v/>
      </c>
    </row>
    <row r="41" customFormat="false" ht="15" hidden="false" customHeight="false" outlineLevel="0" collapsed="false">
      <c r="F41" s="3" t="str">
        <f aca="false">IF(A41="","",IF(AND(B41&gt;=Summary!$B$3,B41&lt;=Summary!$B$5),1,0))</f>
        <v/>
      </c>
      <c r="G41" s="17" t="str">
        <f aca="false">IF(A41="","",SUMIFS(Widget_Data!$E$5:$E$500,Widget_Data!$A$5:$A$500,A41,Widget_Data!$C$5:$C$500,Summary!$B$4,Widget_Data!$D$5:$D$500,"&gt;="&amp;Summary!$B$3,Widget_Data!$D$5:$D$500,"&lt;="&amp;Summary!$B$5))</f>
        <v/>
      </c>
      <c r="H41" s="3" t="str">
        <f aca="false">IF(A41="","",IF(AND(F41=1,G41&gt;0,ABS(E41-G41)&lt;0.005),"Matched",IF(AND(F41=1,G41&gt;0),"Amount differs",IF(AND(F41=1,J41=0),"Missing in widget",IF(AND(F41=1,K41&lt;&gt;Summary!$B$4),"In widget - not approved",IF(F41=1,"In widget - approved in other month",IF(G41&gt;0,"Counted by widget - cost dated other month","Out of month - not in widget")))))))</f>
        <v/>
      </c>
      <c r="I41" s="17" t="str">
        <f aca="false">IF(A41="","",F41*E41-G41)</f>
        <v/>
      </c>
      <c r="J41" s="3" t="str">
        <f aca="false">IF(A41="","",COUNTIF(Widget_Data!$A$5:$A$500,A41))</f>
        <v/>
      </c>
      <c r="K41" s="3" t="str">
        <f aca="false">IF(OR(A41="",J41=0),"",INDEX(Widget_Data!$C$5:$C$500,MATCH(A41,Widget_Data!$A$5:$A$500,0)))</f>
        <v/>
      </c>
    </row>
    <row r="42" customFormat="false" ht="15" hidden="false" customHeight="false" outlineLevel="0" collapsed="false">
      <c r="F42" s="3" t="str">
        <f aca="false">IF(A42="","",IF(AND(B42&gt;=Summary!$B$3,B42&lt;=Summary!$B$5),1,0))</f>
        <v/>
      </c>
      <c r="G42" s="17" t="str">
        <f aca="false">IF(A42="","",SUMIFS(Widget_Data!$E$5:$E$500,Widget_Data!$A$5:$A$500,A42,Widget_Data!$C$5:$C$500,Summary!$B$4,Widget_Data!$D$5:$D$500,"&gt;="&amp;Summary!$B$3,Widget_Data!$D$5:$D$500,"&lt;="&amp;Summary!$B$5))</f>
        <v/>
      </c>
      <c r="H42" s="3" t="str">
        <f aca="false">IF(A42="","",IF(AND(F42=1,G42&gt;0,ABS(E42-G42)&lt;0.005),"Matched",IF(AND(F42=1,G42&gt;0),"Amount differs",IF(AND(F42=1,J42=0),"Missing in widget",IF(AND(F42=1,K42&lt;&gt;Summary!$B$4),"In widget - not approved",IF(F42=1,"In widget - approved in other month",IF(G42&gt;0,"Counted by widget - cost dated other month","Out of month - not in widget")))))))</f>
        <v/>
      </c>
      <c r="I42" s="17" t="str">
        <f aca="false">IF(A42="","",F42*E42-G42)</f>
        <v/>
      </c>
      <c r="J42" s="3" t="str">
        <f aca="false">IF(A42="","",COUNTIF(Widget_Data!$A$5:$A$500,A42))</f>
        <v/>
      </c>
      <c r="K42" s="3" t="str">
        <f aca="false">IF(OR(A42="",J42=0),"",INDEX(Widget_Data!$C$5:$C$500,MATCH(A42,Widget_Data!$A$5:$A$500,0)))</f>
        <v/>
      </c>
    </row>
    <row r="43" customFormat="false" ht="15" hidden="false" customHeight="false" outlineLevel="0" collapsed="false">
      <c r="F43" s="3" t="str">
        <f aca="false">IF(A43="","",IF(AND(B43&gt;=Summary!$B$3,B43&lt;=Summary!$B$5),1,0))</f>
        <v/>
      </c>
      <c r="G43" s="17" t="str">
        <f aca="false">IF(A43="","",SUMIFS(Widget_Data!$E$5:$E$500,Widget_Data!$A$5:$A$500,A43,Widget_Data!$C$5:$C$500,Summary!$B$4,Widget_Data!$D$5:$D$500,"&gt;="&amp;Summary!$B$3,Widget_Data!$D$5:$D$500,"&lt;="&amp;Summary!$B$5))</f>
        <v/>
      </c>
      <c r="H43" s="3" t="str">
        <f aca="false">IF(A43="","",IF(AND(F43=1,G43&gt;0,ABS(E43-G43)&lt;0.005),"Matched",IF(AND(F43=1,G43&gt;0),"Amount differs",IF(AND(F43=1,J43=0),"Missing in widget",IF(AND(F43=1,K43&lt;&gt;Summary!$B$4),"In widget - not approved",IF(F43=1,"In widget - approved in other month",IF(G43&gt;0,"Counted by widget - cost dated other month","Out of month - not in widget")))))))</f>
        <v/>
      </c>
      <c r="I43" s="17" t="str">
        <f aca="false">IF(A43="","",F43*E43-G43)</f>
        <v/>
      </c>
      <c r="J43" s="3" t="str">
        <f aca="false">IF(A43="","",COUNTIF(Widget_Data!$A$5:$A$500,A43))</f>
        <v/>
      </c>
      <c r="K43" s="3" t="str">
        <f aca="false">IF(OR(A43="",J43=0),"",INDEX(Widget_Data!$C$5:$C$500,MATCH(A43,Widget_Data!$A$5:$A$500,0)))</f>
        <v/>
      </c>
    </row>
    <row r="44" customFormat="false" ht="15" hidden="false" customHeight="false" outlineLevel="0" collapsed="false">
      <c r="F44" s="3" t="str">
        <f aca="false">IF(A44="","",IF(AND(B44&gt;=Summary!$B$3,B44&lt;=Summary!$B$5),1,0))</f>
        <v/>
      </c>
      <c r="G44" s="17" t="str">
        <f aca="false">IF(A44="","",SUMIFS(Widget_Data!$E$5:$E$500,Widget_Data!$A$5:$A$500,A44,Widget_Data!$C$5:$C$500,Summary!$B$4,Widget_Data!$D$5:$D$500,"&gt;="&amp;Summary!$B$3,Widget_Data!$D$5:$D$500,"&lt;="&amp;Summary!$B$5))</f>
        <v/>
      </c>
      <c r="H44" s="3" t="str">
        <f aca="false">IF(A44="","",IF(AND(F44=1,G44&gt;0,ABS(E44-G44)&lt;0.005),"Matched",IF(AND(F44=1,G44&gt;0),"Amount differs",IF(AND(F44=1,J44=0),"Missing in widget",IF(AND(F44=1,K44&lt;&gt;Summary!$B$4),"In widget - not approved",IF(F44=1,"In widget - approved in other month",IF(G44&gt;0,"Counted by widget - cost dated other month","Out of month - not in widget")))))))</f>
        <v/>
      </c>
      <c r="I44" s="17" t="str">
        <f aca="false">IF(A44="","",F44*E44-G44)</f>
        <v/>
      </c>
      <c r="J44" s="3" t="str">
        <f aca="false">IF(A44="","",COUNTIF(Widget_Data!$A$5:$A$500,A44))</f>
        <v/>
      </c>
      <c r="K44" s="3" t="str">
        <f aca="false">IF(OR(A44="",J44=0),"",INDEX(Widget_Data!$C$5:$C$500,MATCH(A44,Widget_Data!$A$5:$A$500,0)))</f>
        <v/>
      </c>
    </row>
    <row r="45" customFormat="false" ht="15" hidden="false" customHeight="false" outlineLevel="0" collapsed="false">
      <c r="F45" s="3" t="str">
        <f aca="false">IF(A45="","",IF(AND(B45&gt;=Summary!$B$3,B45&lt;=Summary!$B$5),1,0))</f>
        <v/>
      </c>
      <c r="G45" s="17" t="str">
        <f aca="false">IF(A45="","",SUMIFS(Widget_Data!$E$5:$E$500,Widget_Data!$A$5:$A$500,A45,Widget_Data!$C$5:$C$500,Summary!$B$4,Widget_Data!$D$5:$D$500,"&gt;="&amp;Summary!$B$3,Widget_Data!$D$5:$D$500,"&lt;="&amp;Summary!$B$5))</f>
        <v/>
      </c>
      <c r="H45" s="3" t="str">
        <f aca="false">IF(A45="","",IF(AND(F45=1,G45&gt;0,ABS(E45-G45)&lt;0.005),"Matched",IF(AND(F45=1,G45&gt;0),"Amount differs",IF(AND(F45=1,J45=0),"Missing in widget",IF(AND(F45=1,K45&lt;&gt;Summary!$B$4),"In widget - not approved",IF(F45=1,"In widget - approved in other month",IF(G45&gt;0,"Counted by widget - cost dated other month","Out of month - not in widget")))))))</f>
        <v/>
      </c>
      <c r="I45" s="17" t="str">
        <f aca="false">IF(A45="","",F45*E45-G45)</f>
        <v/>
      </c>
      <c r="J45" s="3" t="str">
        <f aca="false">IF(A45="","",COUNTIF(Widget_Data!$A$5:$A$500,A45))</f>
        <v/>
      </c>
      <c r="K45" s="3" t="str">
        <f aca="false">IF(OR(A45="",J45=0),"",INDEX(Widget_Data!$C$5:$C$500,MATCH(A45,Widget_Data!$A$5:$A$500,0)))</f>
        <v/>
      </c>
    </row>
    <row r="46" customFormat="false" ht="15" hidden="false" customHeight="false" outlineLevel="0" collapsed="false">
      <c r="F46" s="3" t="str">
        <f aca="false">IF(A46="","",IF(AND(B46&gt;=Summary!$B$3,B46&lt;=Summary!$B$5),1,0))</f>
        <v/>
      </c>
      <c r="G46" s="17" t="str">
        <f aca="false">IF(A46="","",SUMIFS(Widget_Data!$E$5:$E$500,Widget_Data!$A$5:$A$500,A46,Widget_Data!$C$5:$C$500,Summary!$B$4,Widget_Data!$D$5:$D$500,"&gt;="&amp;Summary!$B$3,Widget_Data!$D$5:$D$500,"&lt;="&amp;Summary!$B$5))</f>
        <v/>
      </c>
      <c r="H46" s="3" t="str">
        <f aca="false">IF(A46="","",IF(AND(F46=1,G46&gt;0,ABS(E46-G46)&lt;0.005),"Matched",IF(AND(F46=1,G46&gt;0),"Amount differs",IF(AND(F46=1,J46=0),"Missing in widget",IF(AND(F46=1,K46&lt;&gt;Summary!$B$4),"In widget - not approved",IF(F46=1,"In widget - approved in other month",IF(G46&gt;0,"Counted by widget - cost dated other month","Out of month - not in widget")))))))</f>
        <v/>
      </c>
      <c r="I46" s="17" t="str">
        <f aca="false">IF(A46="","",F46*E46-G46)</f>
        <v/>
      </c>
      <c r="J46" s="3" t="str">
        <f aca="false">IF(A46="","",COUNTIF(Widget_Data!$A$5:$A$500,A46))</f>
        <v/>
      </c>
      <c r="K46" s="3" t="str">
        <f aca="false">IF(OR(A46="",J46=0),"",INDEX(Widget_Data!$C$5:$C$500,MATCH(A46,Widget_Data!$A$5:$A$500,0)))</f>
        <v/>
      </c>
    </row>
    <row r="47" customFormat="false" ht="15" hidden="false" customHeight="false" outlineLevel="0" collapsed="false">
      <c r="F47" s="3" t="str">
        <f aca="false">IF(A47="","",IF(AND(B47&gt;=Summary!$B$3,B47&lt;=Summary!$B$5),1,0))</f>
        <v/>
      </c>
      <c r="G47" s="17" t="str">
        <f aca="false">IF(A47="","",SUMIFS(Widget_Data!$E$5:$E$500,Widget_Data!$A$5:$A$500,A47,Widget_Data!$C$5:$C$500,Summary!$B$4,Widget_Data!$D$5:$D$500,"&gt;="&amp;Summary!$B$3,Widget_Data!$D$5:$D$500,"&lt;="&amp;Summary!$B$5))</f>
        <v/>
      </c>
      <c r="H47" s="3" t="str">
        <f aca="false">IF(A47="","",IF(AND(F47=1,G47&gt;0,ABS(E47-G47)&lt;0.005),"Matched",IF(AND(F47=1,G47&gt;0),"Amount differs",IF(AND(F47=1,J47=0),"Missing in widget",IF(AND(F47=1,K47&lt;&gt;Summary!$B$4),"In widget - not approved",IF(F47=1,"In widget - approved in other month",IF(G47&gt;0,"Counted by widget - cost dated other month","Out of month - not in widget")))))))</f>
        <v/>
      </c>
      <c r="I47" s="17" t="str">
        <f aca="false">IF(A47="","",F47*E47-G47)</f>
        <v/>
      </c>
      <c r="J47" s="3" t="str">
        <f aca="false">IF(A47="","",COUNTIF(Widget_Data!$A$5:$A$500,A47))</f>
        <v/>
      </c>
      <c r="K47" s="3" t="str">
        <f aca="false">IF(OR(A47="",J47=0),"",INDEX(Widget_Data!$C$5:$C$500,MATCH(A47,Widget_Data!$A$5:$A$500,0)))</f>
        <v/>
      </c>
    </row>
    <row r="48" customFormat="false" ht="15" hidden="false" customHeight="false" outlineLevel="0" collapsed="false">
      <c r="F48" s="3" t="str">
        <f aca="false">IF(A48="","",IF(AND(B48&gt;=Summary!$B$3,B48&lt;=Summary!$B$5),1,0))</f>
        <v/>
      </c>
      <c r="G48" s="17" t="str">
        <f aca="false">IF(A48="","",SUMIFS(Widget_Data!$E$5:$E$500,Widget_Data!$A$5:$A$500,A48,Widget_Data!$C$5:$C$500,Summary!$B$4,Widget_Data!$D$5:$D$500,"&gt;="&amp;Summary!$B$3,Widget_Data!$D$5:$D$500,"&lt;="&amp;Summary!$B$5))</f>
        <v/>
      </c>
      <c r="H48" s="3" t="str">
        <f aca="false">IF(A48="","",IF(AND(F48=1,G48&gt;0,ABS(E48-G48)&lt;0.005),"Matched",IF(AND(F48=1,G48&gt;0),"Amount differs",IF(AND(F48=1,J48=0),"Missing in widget",IF(AND(F48=1,K48&lt;&gt;Summary!$B$4),"In widget - not approved",IF(F48=1,"In widget - approved in other month",IF(G48&gt;0,"Counted by widget - cost dated other month","Out of month - not in widget")))))))</f>
        <v/>
      </c>
      <c r="I48" s="17" t="str">
        <f aca="false">IF(A48="","",F48*E48-G48)</f>
        <v/>
      </c>
      <c r="J48" s="3" t="str">
        <f aca="false">IF(A48="","",COUNTIF(Widget_Data!$A$5:$A$500,A48))</f>
        <v/>
      </c>
      <c r="K48" s="3" t="str">
        <f aca="false">IF(OR(A48="",J48=0),"",INDEX(Widget_Data!$C$5:$C$500,MATCH(A48,Widget_Data!$A$5:$A$500,0)))</f>
        <v/>
      </c>
    </row>
    <row r="49" customFormat="false" ht="15" hidden="false" customHeight="false" outlineLevel="0" collapsed="false">
      <c r="F49" s="3" t="str">
        <f aca="false">IF(A49="","",IF(AND(B49&gt;=Summary!$B$3,B49&lt;=Summary!$B$5),1,0))</f>
        <v/>
      </c>
      <c r="G49" s="17" t="str">
        <f aca="false">IF(A49="","",SUMIFS(Widget_Data!$E$5:$E$500,Widget_Data!$A$5:$A$500,A49,Widget_Data!$C$5:$C$500,Summary!$B$4,Widget_Data!$D$5:$D$500,"&gt;="&amp;Summary!$B$3,Widget_Data!$D$5:$D$500,"&lt;="&amp;Summary!$B$5))</f>
        <v/>
      </c>
      <c r="H49" s="3" t="str">
        <f aca="false">IF(A49="","",IF(AND(F49=1,G49&gt;0,ABS(E49-G49)&lt;0.005),"Matched",IF(AND(F49=1,G49&gt;0),"Amount differs",IF(AND(F49=1,J49=0),"Missing in widget",IF(AND(F49=1,K49&lt;&gt;Summary!$B$4),"In widget - not approved",IF(F49=1,"In widget - approved in other month",IF(G49&gt;0,"Counted by widget - cost dated other month","Out of month - not in widget")))))))</f>
        <v/>
      </c>
      <c r="I49" s="17" t="str">
        <f aca="false">IF(A49="","",F49*E49-G49)</f>
        <v/>
      </c>
      <c r="J49" s="3" t="str">
        <f aca="false">IF(A49="","",COUNTIF(Widget_Data!$A$5:$A$500,A49))</f>
        <v/>
      </c>
      <c r="K49" s="3" t="str">
        <f aca="false">IF(OR(A49="",J49=0),"",INDEX(Widget_Data!$C$5:$C$500,MATCH(A49,Widget_Data!$A$5:$A$500,0)))</f>
        <v/>
      </c>
    </row>
    <row r="50" customFormat="false" ht="15" hidden="false" customHeight="false" outlineLevel="0" collapsed="false">
      <c r="F50" s="3" t="str">
        <f aca="false">IF(A50="","",IF(AND(B50&gt;=Summary!$B$3,B50&lt;=Summary!$B$5),1,0))</f>
        <v/>
      </c>
      <c r="G50" s="17" t="str">
        <f aca="false">IF(A50="","",SUMIFS(Widget_Data!$E$5:$E$500,Widget_Data!$A$5:$A$500,A50,Widget_Data!$C$5:$C$500,Summary!$B$4,Widget_Data!$D$5:$D$500,"&gt;="&amp;Summary!$B$3,Widget_Data!$D$5:$D$500,"&lt;="&amp;Summary!$B$5))</f>
        <v/>
      </c>
      <c r="H50" s="3" t="str">
        <f aca="false">IF(A50="","",IF(AND(F50=1,G50&gt;0,ABS(E50-G50)&lt;0.005),"Matched",IF(AND(F50=1,G50&gt;0),"Amount differs",IF(AND(F50=1,J50=0),"Missing in widget",IF(AND(F50=1,K50&lt;&gt;Summary!$B$4),"In widget - not approved",IF(F50=1,"In widget - approved in other month",IF(G50&gt;0,"Counted by widget - cost dated other month","Out of month - not in widget")))))))</f>
        <v/>
      </c>
      <c r="I50" s="17" t="str">
        <f aca="false">IF(A50="","",F50*E50-G50)</f>
        <v/>
      </c>
      <c r="J50" s="3" t="str">
        <f aca="false">IF(A50="","",COUNTIF(Widget_Data!$A$5:$A$500,A50))</f>
        <v/>
      </c>
      <c r="K50" s="3" t="str">
        <f aca="false">IF(OR(A50="",J50=0),"",INDEX(Widget_Data!$C$5:$C$500,MATCH(A50,Widget_Data!$A$5:$A$500,0)))</f>
        <v/>
      </c>
    </row>
    <row r="51" customFormat="false" ht="15" hidden="false" customHeight="false" outlineLevel="0" collapsed="false">
      <c r="F51" s="3" t="str">
        <f aca="false">IF(A51="","",IF(AND(B51&gt;=Summary!$B$3,B51&lt;=Summary!$B$5),1,0))</f>
        <v/>
      </c>
      <c r="G51" s="17" t="str">
        <f aca="false">IF(A51="","",SUMIFS(Widget_Data!$E$5:$E$500,Widget_Data!$A$5:$A$500,A51,Widget_Data!$C$5:$C$500,Summary!$B$4,Widget_Data!$D$5:$D$500,"&gt;="&amp;Summary!$B$3,Widget_Data!$D$5:$D$500,"&lt;="&amp;Summary!$B$5))</f>
        <v/>
      </c>
      <c r="H51" s="3" t="str">
        <f aca="false">IF(A51="","",IF(AND(F51=1,G51&gt;0,ABS(E51-G51)&lt;0.005),"Matched",IF(AND(F51=1,G51&gt;0),"Amount differs",IF(AND(F51=1,J51=0),"Missing in widget",IF(AND(F51=1,K51&lt;&gt;Summary!$B$4),"In widget - not approved",IF(F51=1,"In widget - approved in other month",IF(G51&gt;0,"Counted by widget - cost dated other month","Out of month - not in widget")))))))</f>
        <v/>
      </c>
      <c r="I51" s="17" t="str">
        <f aca="false">IF(A51="","",F51*E51-G51)</f>
        <v/>
      </c>
      <c r="J51" s="3" t="str">
        <f aca="false">IF(A51="","",COUNTIF(Widget_Data!$A$5:$A$500,A51))</f>
        <v/>
      </c>
      <c r="K51" s="3" t="str">
        <f aca="false">IF(OR(A51="",J51=0),"",INDEX(Widget_Data!$C$5:$C$500,MATCH(A51,Widget_Data!$A$5:$A$500,0)))</f>
        <v/>
      </c>
    </row>
    <row r="52" customFormat="false" ht="15" hidden="false" customHeight="false" outlineLevel="0" collapsed="false">
      <c r="F52" s="3" t="str">
        <f aca="false">IF(A52="","",IF(AND(B52&gt;=Summary!$B$3,B52&lt;=Summary!$B$5),1,0))</f>
        <v/>
      </c>
      <c r="G52" s="17" t="str">
        <f aca="false">IF(A52="","",SUMIFS(Widget_Data!$E$5:$E$500,Widget_Data!$A$5:$A$500,A52,Widget_Data!$C$5:$C$500,Summary!$B$4,Widget_Data!$D$5:$D$500,"&gt;="&amp;Summary!$B$3,Widget_Data!$D$5:$D$500,"&lt;="&amp;Summary!$B$5))</f>
        <v/>
      </c>
      <c r="H52" s="3" t="str">
        <f aca="false">IF(A52="","",IF(AND(F52=1,G52&gt;0,ABS(E52-G52)&lt;0.005),"Matched",IF(AND(F52=1,G52&gt;0),"Amount differs",IF(AND(F52=1,J52=0),"Missing in widget",IF(AND(F52=1,K52&lt;&gt;Summary!$B$4),"In widget - not approved",IF(F52=1,"In widget - approved in other month",IF(G52&gt;0,"Counted by widget - cost dated other month","Out of month - not in widget")))))))</f>
        <v/>
      </c>
      <c r="I52" s="17" t="str">
        <f aca="false">IF(A52="","",F52*E52-G52)</f>
        <v/>
      </c>
      <c r="J52" s="3" t="str">
        <f aca="false">IF(A52="","",COUNTIF(Widget_Data!$A$5:$A$500,A52))</f>
        <v/>
      </c>
      <c r="K52" s="3" t="str">
        <f aca="false">IF(OR(A52="",J52=0),"",INDEX(Widget_Data!$C$5:$C$500,MATCH(A52,Widget_Data!$A$5:$A$500,0)))</f>
        <v/>
      </c>
    </row>
    <row r="53" customFormat="false" ht="15" hidden="false" customHeight="false" outlineLevel="0" collapsed="false">
      <c r="F53" s="3" t="str">
        <f aca="false">IF(A53="","",IF(AND(B53&gt;=Summary!$B$3,B53&lt;=Summary!$B$5),1,0))</f>
        <v/>
      </c>
      <c r="G53" s="17" t="str">
        <f aca="false">IF(A53="","",SUMIFS(Widget_Data!$E$5:$E$500,Widget_Data!$A$5:$A$500,A53,Widget_Data!$C$5:$C$500,Summary!$B$4,Widget_Data!$D$5:$D$500,"&gt;="&amp;Summary!$B$3,Widget_Data!$D$5:$D$500,"&lt;="&amp;Summary!$B$5))</f>
        <v/>
      </c>
      <c r="H53" s="3" t="str">
        <f aca="false">IF(A53="","",IF(AND(F53=1,G53&gt;0,ABS(E53-G53)&lt;0.005),"Matched",IF(AND(F53=1,G53&gt;0),"Amount differs",IF(AND(F53=1,J53=0),"Missing in widget",IF(AND(F53=1,K53&lt;&gt;Summary!$B$4),"In widget - not approved",IF(F53=1,"In widget - approved in other month",IF(G53&gt;0,"Counted by widget - cost dated other month","Out of month - not in widget")))))))</f>
        <v/>
      </c>
      <c r="I53" s="17" t="str">
        <f aca="false">IF(A53="","",F53*E53-G53)</f>
        <v/>
      </c>
      <c r="J53" s="3" t="str">
        <f aca="false">IF(A53="","",COUNTIF(Widget_Data!$A$5:$A$500,A53))</f>
        <v/>
      </c>
      <c r="K53" s="3" t="str">
        <f aca="false">IF(OR(A53="",J53=0),"",INDEX(Widget_Data!$C$5:$C$500,MATCH(A53,Widget_Data!$A$5:$A$500,0)))</f>
        <v/>
      </c>
    </row>
    <row r="54" customFormat="false" ht="15" hidden="false" customHeight="false" outlineLevel="0" collapsed="false">
      <c r="F54" s="3" t="str">
        <f aca="false">IF(A54="","",IF(AND(B54&gt;=Summary!$B$3,B54&lt;=Summary!$B$5),1,0))</f>
        <v/>
      </c>
      <c r="G54" s="17" t="str">
        <f aca="false">IF(A54="","",SUMIFS(Widget_Data!$E$5:$E$500,Widget_Data!$A$5:$A$500,A54,Widget_Data!$C$5:$C$500,Summary!$B$4,Widget_Data!$D$5:$D$500,"&gt;="&amp;Summary!$B$3,Widget_Data!$D$5:$D$500,"&lt;="&amp;Summary!$B$5))</f>
        <v/>
      </c>
      <c r="H54" s="3" t="str">
        <f aca="false">IF(A54="","",IF(AND(F54=1,G54&gt;0,ABS(E54-G54)&lt;0.005),"Matched",IF(AND(F54=1,G54&gt;0),"Amount differs",IF(AND(F54=1,J54=0),"Missing in widget",IF(AND(F54=1,K54&lt;&gt;Summary!$B$4),"In widget - not approved",IF(F54=1,"In widget - approved in other month",IF(G54&gt;0,"Counted by widget - cost dated other month","Out of month - not in widget")))))))</f>
        <v/>
      </c>
      <c r="I54" s="17" t="str">
        <f aca="false">IF(A54="","",F54*E54-G54)</f>
        <v/>
      </c>
      <c r="J54" s="3" t="str">
        <f aca="false">IF(A54="","",COUNTIF(Widget_Data!$A$5:$A$500,A54))</f>
        <v/>
      </c>
      <c r="K54" s="3" t="str">
        <f aca="false">IF(OR(A54="",J54=0),"",INDEX(Widget_Data!$C$5:$C$500,MATCH(A54,Widget_Data!$A$5:$A$500,0)))</f>
        <v/>
      </c>
    </row>
    <row r="55" customFormat="false" ht="15" hidden="false" customHeight="false" outlineLevel="0" collapsed="false">
      <c r="F55" s="3" t="str">
        <f aca="false">IF(A55="","",IF(AND(B55&gt;=Summary!$B$3,B55&lt;=Summary!$B$5),1,0))</f>
        <v/>
      </c>
      <c r="G55" s="17" t="str">
        <f aca="false">IF(A55="","",SUMIFS(Widget_Data!$E$5:$E$500,Widget_Data!$A$5:$A$500,A55,Widget_Data!$C$5:$C$500,Summary!$B$4,Widget_Data!$D$5:$D$500,"&gt;="&amp;Summary!$B$3,Widget_Data!$D$5:$D$500,"&lt;="&amp;Summary!$B$5))</f>
        <v/>
      </c>
      <c r="H55" s="3" t="str">
        <f aca="false">IF(A55="","",IF(AND(F55=1,G55&gt;0,ABS(E55-G55)&lt;0.005),"Matched",IF(AND(F55=1,G55&gt;0),"Amount differs",IF(AND(F55=1,J55=0),"Missing in widget",IF(AND(F55=1,K55&lt;&gt;Summary!$B$4),"In widget - not approved",IF(F55=1,"In widget - approved in other month",IF(G55&gt;0,"Counted by widget - cost dated other month","Out of month - not in widget")))))))</f>
        <v/>
      </c>
      <c r="I55" s="17" t="str">
        <f aca="false">IF(A55="","",F55*E55-G55)</f>
        <v/>
      </c>
      <c r="J55" s="3" t="str">
        <f aca="false">IF(A55="","",COUNTIF(Widget_Data!$A$5:$A$500,A55))</f>
        <v/>
      </c>
      <c r="K55" s="3" t="str">
        <f aca="false">IF(OR(A55="",J55=0),"",INDEX(Widget_Data!$C$5:$C$500,MATCH(A55,Widget_Data!$A$5:$A$500,0)))</f>
        <v/>
      </c>
    </row>
    <row r="56" customFormat="false" ht="15" hidden="false" customHeight="false" outlineLevel="0" collapsed="false">
      <c r="F56" s="3" t="str">
        <f aca="false">IF(A56="","",IF(AND(B56&gt;=Summary!$B$3,B56&lt;=Summary!$B$5),1,0))</f>
        <v/>
      </c>
      <c r="G56" s="17" t="str">
        <f aca="false">IF(A56="","",SUMIFS(Widget_Data!$E$5:$E$500,Widget_Data!$A$5:$A$500,A56,Widget_Data!$C$5:$C$500,Summary!$B$4,Widget_Data!$D$5:$D$500,"&gt;="&amp;Summary!$B$3,Widget_Data!$D$5:$D$500,"&lt;="&amp;Summary!$B$5))</f>
        <v/>
      </c>
      <c r="H56" s="3" t="str">
        <f aca="false">IF(A56="","",IF(AND(F56=1,G56&gt;0,ABS(E56-G56)&lt;0.005),"Matched",IF(AND(F56=1,G56&gt;0),"Amount differs",IF(AND(F56=1,J56=0),"Missing in widget",IF(AND(F56=1,K56&lt;&gt;Summary!$B$4),"In widget - not approved",IF(F56=1,"In widget - approved in other month",IF(G56&gt;0,"Counted by widget - cost dated other month","Out of month - not in widget")))))))</f>
        <v/>
      </c>
      <c r="I56" s="17" t="str">
        <f aca="false">IF(A56="","",F56*E56-G56)</f>
        <v/>
      </c>
      <c r="J56" s="3" t="str">
        <f aca="false">IF(A56="","",COUNTIF(Widget_Data!$A$5:$A$500,A56))</f>
        <v/>
      </c>
      <c r="K56" s="3" t="str">
        <f aca="false">IF(OR(A56="",J56=0),"",INDEX(Widget_Data!$C$5:$C$500,MATCH(A56,Widget_Data!$A$5:$A$500,0)))</f>
        <v/>
      </c>
    </row>
    <row r="57" customFormat="false" ht="15" hidden="false" customHeight="false" outlineLevel="0" collapsed="false">
      <c r="F57" s="3" t="str">
        <f aca="false">IF(A57="","",IF(AND(B57&gt;=Summary!$B$3,B57&lt;=Summary!$B$5),1,0))</f>
        <v/>
      </c>
      <c r="G57" s="17" t="str">
        <f aca="false">IF(A57="","",SUMIFS(Widget_Data!$E$5:$E$500,Widget_Data!$A$5:$A$500,A57,Widget_Data!$C$5:$C$500,Summary!$B$4,Widget_Data!$D$5:$D$500,"&gt;="&amp;Summary!$B$3,Widget_Data!$D$5:$D$500,"&lt;="&amp;Summary!$B$5))</f>
        <v/>
      </c>
      <c r="H57" s="3" t="str">
        <f aca="false">IF(A57="","",IF(AND(F57=1,G57&gt;0,ABS(E57-G57)&lt;0.005),"Matched",IF(AND(F57=1,G57&gt;0),"Amount differs",IF(AND(F57=1,J57=0),"Missing in widget",IF(AND(F57=1,K57&lt;&gt;Summary!$B$4),"In widget - not approved",IF(F57=1,"In widget - approved in other month",IF(G57&gt;0,"Counted by widget - cost dated other month","Out of month - not in widget")))))))</f>
        <v/>
      </c>
      <c r="I57" s="17" t="str">
        <f aca="false">IF(A57="","",F57*E57-G57)</f>
        <v/>
      </c>
      <c r="J57" s="3" t="str">
        <f aca="false">IF(A57="","",COUNTIF(Widget_Data!$A$5:$A$500,A57))</f>
        <v/>
      </c>
      <c r="K57" s="3" t="str">
        <f aca="false">IF(OR(A57="",J57=0),"",INDEX(Widget_Data!$C$5:$C$500,MATCH(A57,Widget_Data!$A$5:$A$500,0)))</f>
        <v/>
      </c>
    </row>
    <row r="58" customFormat="false" ht="15" hidden="false" customHeight="false" outlineLevel="0" collapsed="false">
      <c r="F58" s="3" t="str">
        <f aca="false">IF(A58="","",IF(AND(B58&gt;=Summary!$B$3,B58&lt;=Summary!$B$5),1,0))</f>
        <v/>
      </c>
      <c r="G58" s="17" t="str">
        <f aca="false">IF(A58="","",SUMIFS(Widget_Data!$E$5:$E$500,Widget_Data!$A$5:$A$500,A58,Widget_Data!$C$5:$C$500,Summary!$B$4,Widget_Data!$D$5:$D$500,"&gt;="&amp;Summary!$B$3,Widget_Data!$D$5:$D$500,"&lt;="&amp;Summary!$B$5))</f>
        <v/>
      </c>
      <c r="H58" s="3" t="str">
        <f aca="false">IF(A58="","",IF(AND(F58=1,G58&gt;0,ABS(E58-G58)&lt;0.005),"Matched",IF(AND(F58=1,G58&gt;0),"Amount differs",IF(AND(F58=1,J58=0),"Missing in widget",IF(AND(F58=1,K58&lt;&gt;Summary!$B$4),"In widget - not approved",IF(F58=1,"In widget - approved in other month",IF(G58&gt;0,"Counted by widget - cost dated other month","Out of month - not in widget")))))))</f>
        <v/>
      </c>
      <c r="I58" s="17" t="str">
        <f aca="false">IF(A58="","",F58*E58-G58)</f>
        <v/>
      </c>
      <c r="J58" s="3" t="str">
        <f aca="false">IF(A58="","",COUNTIF(Widget_Data!$A$5:$A$500,A58))</f>
        <v/>
      </c>
      <c r="K58" s="3" t="str">
        <f aca="false">IF(OR(A58="",J58=0),"",INDEX(Widget_Data!$C$5:$C$500,MATCH(A58,Widget_Data!$A$5:$A$500,0)))</f>
        <v/>
      </c>
    </row>
    <row r="59" customFormat="false" ht="15" hidden="false" customHeight="false" outlineLevel="0" collapsed="false">
      <c r="F59" s="3" t="str">
        <f aca="false">IF(A59="","",IF(AND(B59&gt;=Summary!$B$3,B59&lt;=Summary!$B$5),1,0))</f>
        <v/>
      </c>
      <c r="G59" s="17" t="str">
        <f aca="false">IF(A59="","",SUMIFS(Widget_Data!$E$5:$E$500,Widget_Data!$A$5:$A$500,A59,Widget_Data!$C$5:$C$500,Summary!$B$4,Widget_Data!$D$5:$D$500,"&gt;="&amp;Summary!$B$3,Widget_Data!$D$5:$D$500,"&lt;="&amp;Summary!$B$5))</f>
        <v/>
      </c>
      <c r="H59" s="3" t="str">
        <f aca="false">IF(A59="","",IF(AND(F59=1,G59&gt;0,ABS(E59-G59)&lt;0.005),"Matched",IF(AND(F59=1,G59&gt;0),"Amount differs",IF(AND(F59=1,J59=0),"Missing in widget",IF(AND(F59=1,K59&lt;&gt;Summary!$B$4),"In widget - not approved",IF(F59=1,"In widget - approved in other month",IF(G59&gt;0,"Counted by widget - cost dated other month","Out of month - not in widget")))))))</f>
        <v/>
      </c>
      <c r="I59" s="17" t="str">
        <f aca="false">IF(A59="","",F59*E59-G59)</f>
        <v/>
      </c>
      <c r="J59" s="3" t="str">
        <f aca="false">IF(A59="","",COUNTIF(Widget_Data!$A$5:$A$500,A59))</f>
        <v/>
      </c>
      <c r="K59" s="3" t="str">
        <f aca="false">IF(OR(A59="",J59=0),"",INDEX(Widget_Data!$C$5:$C$500,MATCH(A59,Widget_Data!$A$5:$A$500,0)))</f>
        <v/>
      </c>
    </row>
    <row r="60" customFormat="false" ht="15" hidden="false" customHeight="false" outlineLevel="0" collapsed="false">
      <c r="F60" s="3" t="str">
        <f aca="false">IF(A60="","",IF(AND(B60&gt;=Summary!$B$3,B60&lt;=Summary!$B$5),1,0))</f>
        <v/>
      </c>
      <c r="G60" s="17" t="str">
        <f aca="false">IF(A60="","",SUMIFS(Widget_Data!$E$5:$E$500,Widget_Data!$A$5:$A$500,A60,Widget_Data!$C$5:$C$500,Summary!$B$4,Widget_Data!$D$5:$D$500,"&gt;="&amp;Summary!$B$3,Widget_Data!$D$5:$D$500,"&lt;="&amp;Summary!$B$5))</f>
        <v/>
      </c>
      <c r="H60" s="3" t="str">
        <f aca="false">IF(A60="","",IF(AND(F60=1,G60&gt;0,ABS(E60-G60)&lt;0.005),"Matched",IF(AND(F60=1,G60&gt;0),"Amount differs",IF(AND(F60=1,J60=0),"Missing in widget",IF(AND(F60=1,K60&lt;&gt;Summary!$B$4),"In widget - not approved",IF(F60=1,"In widget - approved in other month",IF(G60&gt;0,"Counted by widget - cost dated other month","Out of month - not in widget")))))))</f>
        <v/>
      </c>
      <c r="I60" s="17" t="str">
        <f aca="false">IF(A60="","",F60*E60-G60)</f>
        <v/>
      </c>
      <c r="J60" s="3" t="str">
        <f aca="false">IF(A60="","",COUNTIF(Widget_Data!$A$5:$A$500,A60))</f>
        <v/>
      </c>
      <c r="K60" s="3" t="str">
        <f aca="false">IF(OR(A60="",J60=0),"",INDEX(Widget_Data!$C$5:$C$500,MATCH(A60,Widget_Data!$A$5:$A$500,0)))</f>
        <v/>
      </c>
    </row>
    <row r="61" customFormat="false" ht="15" hidden="false" customHeight="false" outlineLevel="0" collapsed="false">
      <c r="F61" s="3" t="str">
        <f aca="false">IF(A61="","",IF(AND(B61&gt;=Summary!$B$3,B61&lt;=Summary!$B$5),1,0))</f>
        <v/>
      </c>
      <c r="G61" s="17" t="str">
        <f aca="false">IF(A61="","",SUMIFS(Widget_Data!$E$5:$E$500,Widget_Data!$A$5:$A$500,A61,Widget_Data!$C$5:$C$500,Summary!$B$4,Widget_Data!$D$5:$D$500,"&gt;="&amp;Summary!$B$3,Widget_Data!$D$5:$D$500,"&lt;="&amp;Summary!$B$5))</f>
        <v/>
      </c>
      <c r="H61" s="3" t="str">
        <f aca="false">IF(A61="","",IF(AND(F61=1,G61&gt;0,ABS(E61-G61)&lt;0.005),"Matched",IF(AND(F61=1,G61&gt;0),"Amount differs",IF(AND(F61=1,J61=0),"Missing in widget",IF(AND(F61=1,K61&lt;&gt;Summary!$B$4),"In widget - not approved",IF(F61=1,"In widget - approved in other month",IF(G61&gt;0,"Counted by widget - cost dated other month","Out of month - not in widget")))))))</f>
        <v/>
      </c>
      <c r="I61" s="17" t="str">
        <f aca="false">IF(A61="","",F61*E61-G61)</f>
        <v/>
      </c>
      <c r="J61" s="3" t="str">
        <f aca="false">IF(A61="","",COUNTIF(Widget_Data!$A$5:$A$500,A61))</f>
        <v/>
      </c>
      <c r="K61" s="3" t="str">
        <f aca="false">IF(OR(A61="",J61=0),"",INDEX(Widget_Data!$C$5:$C$500,MATCH(A61,Widget_Data!$A$5:$A$500,0)))</f>
        <v/>
      </c>
    </row>
    <row r="62" customFormat="false" ht="15" hidden="false" customHeight="false" outlineLevel="0" collapsed="false">
      <c r="F62" s="3" t="str">
        <f aca="false">IF(A62="","",IF(AND(B62&gt;=Summary!$B$3,B62&lt;=Summary!$B$5),1,0))</f>
        <v/>
      </c>
      <c r="G62" s="17" t="str">
        <f aca="false">IF(A62="","",SUMIFS(Widget_Data!$E$5:$E$500,Widget_Data!$A$5:$A$500,A62,Widget_Data!$C$5:$C$500,Summary!$B$4,Widget_Data!$D$5:$D$500,"&gt;="&amp;Summary!$B$3,Widget_Data!$D$5:$D$500,"&lt;="&amp;Summary!$B$5))</f>
        <v/>
      </c>
      <c r="H62" s="3" t="str">
        <f aca="false">IF(A62="","",IF(AND(F62=1,G62&gt;0,ABS(E62-G62)&lt;0.005),"Matched",IF(AND(F62=1,G62&gt;0),"Amount differs",IF(AND(F62=1,J62=0),"Missing in widget",IF(AND(F62=1,K62&lt;&gt;Summary!$B$4),"In widget - not approved",IF(F62=1,"In widget - approved in other month",IF(G62&gt;0,"Counted by widget - cost dated other month","Out of month - not in widget")))))))</f>
        <v/>
      </c>
      <c r="I62" s="17" t="str">
        <f aca="false">IF(A62="","",F62*E62-G62)</f>
        <v/>
      </c>
      <c r="J62" s="3" t="str">
        <f aca="false">IF(A62="","",COUNTIF(Widget_Data!$A$5:$A$500,A62))</f>
        <v/>
      </c>
      <c r="K62" s="3" t="str">
        <f aca="false">IF(OR(A62="",J62=0),"",INDEX(Widget_Data!$C$5:$C$500,MATCH(A62,Widget_Data!$A$5:$A$500,0)))</f>
        <v/>
      </c>
    </row>
    <row r="63" customFormat="false" ht="15" hidden="false" customHeight="false" outlineLevel="0" collapsed="false">
      <c r="F63" s="3" t="str">
        <f aca="false">IF(A63="","",IF(AND(B63&gt;=Summary!$B$3,B63&lt;=Summary!$B$5),1,0))</f>
        <v/>
      </c>
      <c r="G63" s="17" t="str">
        <f aca="false">IF(A63="","",SUMIFS(Widget_Data!$E$5:$E$500,Widget_Data!$A$5:$A$500,A63,Widget_Data!$C$5:$C$500,Summary!$B$4,Widget_Data!$D$5:$D$500,"&gt;="&amp;Summary!$B$3,Widget_Data!$D$5:$D$500,"&lt;="&amp;Summary!$B$5))</f>
        <v/>
      </c>
      <c r="H63" s="3" t="str">
        <f aca="false">IF(A63="","",IF(AND(F63=1,G63&gt;0,ABS(E63-G63)&lt;0.005),"Matched",IF(AND(F63=1,G63&gt;0),"Amount differs",IF(AND(F63=1,J63=0),"Missing in widget",IF(AND(F63=1,K63&lt;&gt;Summary!$B$4),"In widget - not approved",IF(F63=1,"In widget - approved in other month",IF(G63&gt;0,"Counted by widget - cost dated other month","Out of month - not in widget")))))))</f>
        <v/>
      </c>
      <c r="I63" s="17" t="str">
        <f aca="false">IF(A63="","",F63*E63-G63)</f>
        <v/>
      </c>
      <c r="J63" s="3" t="str">
        <f aca="false">IF(A63="","",COUNTIF(Widget_Data!$A$5:$A$500,A63))</f>
        <v/>
      </c>
      <c r="K63" s="3" t="str">
        <f aca="false">IF(OR(A63="",J63=0),"",INDEX(Widget_Data!$C$5:$C$500,MATCH(A63,Widget_Data!$A$5:$A$500,0)))</f>
        <v/>
      </c>
    </row>
    <row r="64" customFormat="false" ht="15" hidden="false" customHeight="false" outlineLevel="0" collapsed="false">
      <c r="F64" s="3" t="str">
        <f aca="false">IF(A64="","",IF(AND(B64&gt;=Summary!$B$3,B64&lt;=Summary!$B$5),1,0))</f>
        <v/>
      </c>
      <c r="G64" s="17" t="str">
        <f aca="false">IF(A64="","",SUMIFS(Widget_Data!$E$5:$E$500,Widget_Data!$A$5:$A$500,A64,Widget_Data!$C$5:$C$500,Summary!$B$4,Widget_Data!$D$5:$D$500,"&gt;="&amp;Summary!$B$3,Widget_Data!$D$5:$D$500,"&lt;="&amp;Summary!$B$5))</f>
        <v/>
      </c>
      <c r="H64" s="3" t="str">
        <f aca="false">IF(A64="","",IF(AND(F64=1,G64&gt;0,ABS(E64-G64)&lt;0.005),"Matched",IF(AND(F64=1,G64&gt;0),"Amount differs",IF(AND(F64=1,J64=0),"Missing in widget",IF(AND(F64=1,K64&lt;&gt;Summary!$B$4),"In widget - not approved",IF(F64=1,"In widget - approved in other month",IF(G64&gt;0,"Counted by widget - cost dated other month","Out of month - not in widget")))))))</f>
        <v/>
      </c>
      <c r="I64" s="17" t="str">
        <f aca="false">IF(A64="","",F64*E64-G64)</f>
        <v/>
      </c>
      <c r="J64" s="3" t="str">
        <f aca="false">IF(A64="","",COUNTIF(Widget_Data!$A$5:$A$500,A64))</f>
        <v/>
      </c>
      <c r="K64" s="3" t="str">
        <f aca="false">IF(OR(A64="",J64=0),"",INDEX(Widget_Data!$C$5:$C$500,MATCH(A64,Widget_Data!$A$5:$A$500,0)))</f>
        <v/>
      </c>
    </row>
    <row r="65" customFormat="false" ht="15" hidden="false" customHeight="false" outlineLevel="0" collapsed="false">
      <c r="F65" s="3" t="str">
        <f aca="false">IF(A65="","",IF(AND(B65&gt;=Summary!$B$3,B65&lt;=Summary!$B$5),1,0))</f>
        <v/>
      </c>
      <c r="G65" s="17" t="str">
        <f aca="false">IF(A65="","",SUMIFS(Widget_Data!$E$5:$E$500,Widget_Data!$A$5:$A$500,A65,Widget_Data!$C$5:$C$500,Summary!$B$4,Widget_Data!$D$5:$D$500,"&gt;="&amp;Summary!$B$3,Widget_Data!$D$5:$D$500,"&lt;="&amp;Summary!$B$5))</f>
        <v/>
      </c>
      <c r="H65" s="3" t="str">
        <f aca="false">IF(A65="","",IF(AND(F65=1,G65&gt;0,ABS(E65-G65)&lt;0.005),"Matched",IF(AND(F65=1,G65&gt;0),"Amount differs",IF(AND(F65=1,J65=0),"Missing in widget",IF(AND(F65=1,K65&lt;&gt;Summary!$B$4),"In widget - not approved",IF(F65=1,"In widget - approved in other month",IF(G65&gt;0,"Counted by widget - cost dated other month","Out of month - not in widget")))))))</f>
        <v/>
      </c>
      <c r="I65" s="17" t="str">
        <f aca="false">IF(A65="","",F65*E65-G65)</f>
        <v/>
      </c>
      <c r="J65" s="3" t="str">
        <f aca="false">IF(A65="","",COUNTIF(Widget_Data!$A$5:$A$500,A65))</f>
        <v/>
      </c>
      <c r="K65" s="3" t="str">
        <f aca="false">IF(OR(A65="",J65=0),"",INDEX(Widget_Data!$C$5:$C$500,MATCH(A65,Widget_Data!$A$5:$A$500,0)))</f>
        <v/>
      </c>
    </row>
    <row r="66" customFormat="false" ht="15" hidden="false" customHeight="false" outlineLevel="0" collapsed="false">
      <c r="F66" s="3" t="str">
        <f aca="false">IF(A66="","",IF(AND(B66&gt;=Summary!$B$3,B66&lt;=Summary!$B$5),1,0))</f>
        <v/>
      </c>
      <c r="G66" s="17" t="str">
        <f aca="false">IF(A66="","",SUMIFS(Widget_Data!$E$5:$E$500,Widget_Data!$A$5:$A$500,A66,Widget_Data!$C$5:$C$500,Summary!$B$4,Widget_Data!$D$5:$D$500,"&gt;="&amp;Summary!$B$3,Widget_Data!$D$5:$D$500,"&lt;="&amp;Summary!$B$5))</f>
        <v/>
      </c>
      <c r="H66" s="3" t="str">
        <f aca="false">IF(A66="","",IF(AND(F66=1,G66&gt;0,ABS(E66-G66)&lt;0.005),"Matched",IF(AND(F66=1,G66&gt;0),"Amount differs",IF(AND(F66=1,J66=0),"Missing in widget",IF(AND(F66=1,K66&lt;&gt;Summary!$B$4),"In widget - not approved",IF(F66=1,"In widget - approved in other month",IF(G66&gt;0,"Counted by widget - cost dated other month","Out of month - not in widget")))))))</f>
        <v/>
      </c>
      <c r="I66" s="17" t="str">
        <f aca="false">IF(A66="","",F66*E66-G66)</f>
        <v/>
      </c>
      <c r="J66" s="3" t="str">
        <f aca="false">IF(A66="","",COUNTIF(Widget_Data!$A$5:$A$500,A66))</f>
        <v/>
      </c>
      <c r="K66" s="3" t="str">
        <f aca="false">IF(OR(A66="",J66=0),"",INDEX(Widget_Data!$C$5:$C$500,MATCH(A66,Widget_Data!$A$5:$A$500,0)))</f>
        <v/>
      </c>
    </row>
    <row r="67" customFormat="false" ht="15" hidden="false" customHeight="false" outlineLevel="0" collapsed="false">
      <c r="F67" s="3" t="str">
        <f aca="false">IF(A67="","",IF(AND(B67&gt;=Summary!$B$3,B67&lt;=Summary!$B$5),1,0))</f>
        <v/>
      </c>
      <c r="G67" s="17" t="str">
        <f aca="false">IF(A67="","",SUMIFS(Widget_Data!$E$5:$E$500,Widget_Data!$A$5:$A$500,A67,Widget_Data!$C$5:$C$500,Summary!$B$4,Widget_Data!$D$5:$D$500,"&gt;="&amp;Summary!$B$3,Widget_Data!$D$5:$D$500,"&lt;="&amp;Summary!$B$5))</f>
        <v/>
      </c>
      <c r="H67" s="3" t="str">
        <f aca="false">IF(A67="","",IF(AND(F67=1,G67&gt;0,ABS(E67-G67)&lt;0.005),"Matched",IF(AND(F67=1,G67&gt;0),"Amount differs",IF(AND(F67=1,J67=0),"Missing in widget",IF(AND(F67=1,K67&lt;&gt;Summary!$B$4),"In widget - not approved",IF(F67=1,"In widget - approved in other month",IF(G67&gt;0,"Counted by widget - cost dated other month","Out of month - not in widget")))))))</f>
        <v/>
      </c>
      <c r="I67" s="17" t="str">
        <f aca="false">IF(A67="","",F67*E67-G67)</f>
        <v/>
      </c>
      <c r="J67" s="3" t="str">
        <f aca="false">IF(A67="","",COUNTIF(Widget_Data!$A$5:$A$500,A67))</f>
        <v/>
      </c>
      <c r="K67" s="3" t="str">
        <f aca="false">IF(OR(A67="",J67=0),"",INDEX(Widget_Data!$C$5:$C$500,MATCH(A67,Widget_Data!$A$5:$A$500,0)))</f>
        <v/>
      </c>
    </row>
    <row r="68" customFormat="false" ht="15" hidden="false" customHeight="false" outlineLevel="0" collapsed="false">
      <c r="F68" s="3" t="str">
        <f aca="false">IF(A68="","",IF(AND(B68&gt;=Summary!$B$3,B68&lt;=Summary!$B$5),1,0))</f>
        <v/>
      </c>
      <c r="G68" s="17" t="str">
        <f aca="false">IF(A68="","",SUMIFS(Widget_Data!$E$5:$E$500,Widget_Data!$A$5:$A$500,A68,Widget_Data!$C$5:$C$500,Summary!$B$4,Widget_Data!$D$5:$D$500,"&gt;="&amp;Summary!$B$3,Widget_Data!$D$5:$D$500,"&lt;="&amp;Summary!$B$5))</f>
        <v/>
      </c>
      <c r="H68" s="3" t="str">
        <f aca="false">IF(A68="","",IF(AND(F68=1,G68&gt;0,ABS(E68-G68)&lt;0.005),"Matched",IF(AND(F68=1,G68&gt;0),"Amount differs",IF(AND(F68=1,J68=0),"Missing in widget",IF(AND(F68=1,K68&lt;&gt;Summary!$B$4),"In widget - not approved",IF(F68=1,"In widget - approved in other month",IF(G68&gt;0,"Counted by widget - cost dated other month","Out of month - not in widget")))))))</f>
        <v/>
      </c>
      <c r="I68" s="17" t="str">
        <f aca="false">IF(A68="","",F68*E68-G68)</f>
        <v/>
      </c>
      <c r="J68" s="3" t="str">
        <f aca="false">IF(A68="","",COUNTIF(Widget_Data!$A$5:$A$500,A68))</f>
        <v/>
      </c>
      <c r="K68" s="3" t="str">
        <f aca="false">IF(OR(A68="",J68=0),"",INDEX(Widget_Data!$C$5:$C$500,MATCH(A68,Widget_Data!$A$5:$A$500,0)))</f>
        <v/>
      </c>
    </row>
    <row r="69" customFormat="false" ht="15" hidden="false" customHeight="false" outlineLevel="0" collapsed="false">
      <c r="F69" s="3" t="str">
        <f aca="false">IF(A69="","",IF(AND(B69&gt;=Summary!$B$3,B69&lt;=Summary!$B$5),1,0))</f>
        <v/>
      </c>
      <c r="G69" s="17" t="str">
        <f aca="false">IF(A69="","",SUMIFS(Widget_Data!$E$5:$E$500,Widget_Data!$A$5:$A$500,A69,Widget_Data!$C$5:$C$500,Summary!$B$4,Widget_Data!$D$5:$D$500,"&gt;="&amp;Summary!$B$3,Widget_Data!$D$5:$D$500,"&lt;="&amp;Summary!$B$5))</f>
        <v/>
      </c>
      <c r="H69" s="3" t="str">
        <f aca="false">IF(A69="","",IF(AND(F69=1,G69&gt;0,ABS(E69-G69)&lt;0.005),"Matched",IF(AND(F69=1,G69&gt;0),"Amount differs",IF(AND(F69=1,J69=0),"Missing in widget",IF(AND(F69=1,K69&lt;&gt;Summary!$B$4),"In widget - not approved",IF(F69=1,"In widget - approved in other month",IF(G69&gt;0,"Counted by widget - cost dated other month","Out of month - not in widget")))))))</f>
        <v/>
      </c>
      <c r="I69" s="17" t="str">
        <f aca="false">IF(A69="","",F69*E69-G69)</f>
        <v/>
      </c>
      <c r="J69" s="3" t="str">
        <f aca="false">IF(A69="","",COUNTIF(Widget_Data!$A$5:$A$500,A69))</f>
        <v/>
      </c>
      <c r="K69" s="3" t="str">
        <f aca="false">IF(OR(A69="",J69=0),"",INDEX(Widget_Data!$C$5:$C$500,MATCH(A69,Widget_Data!$A$5:$A$500,0)))</f>
        <v/>
      </c>
    </row>
    <row r="70" customFormat="false" ht="15" hidden="false" customHeight="false" outlineLevel="0" collapsed="false">
      <c r="F70" s="3" t="str">
        <f aca="false">IF(A70="","",IF(AND(B70&gt;=Summary!$B$3,B70&lt;=Summary!$B$5),1,0))</f>
        <v/>
      </c>
      <c r="G70" s="17" t="str">
        <f aca="false">IF(A70="","",SUMIFS(Widget_Data!$E$5:$E$500,Widget_Data!$A$5:$A$500,A70,Widget_Data!$C$5:$C$500,Summary!$B$4,Widget_Data!$D$5:$D$500,"&gt;="&amp;Summary!$B$3,Widget_Data!$D$5:$D$500,"&lt;="&amp;Summary!$B$5))</f>
        <v/>
      </c>
      <c r="H70" s="3" t="str">
        <f aca="false">IF(A70="","",IF(AND(F70=1,G70&gt;0,ABS(E70-G70)&lt;0.005),"Matched",IF(AND(F70=1,G70&gt;0),"Amount differs",IF(AND(F70=1,J70=0),"Missing in widget",IF(AND(F70=1,K70&lt;&gt;Summary!$B$4),"In widget - not approved",IF(F70=1,"In widget - approved in other month",IF(G70&gt;0,"Counted by widget - cost dated other month","Out of month - not in widget")))))))</f>
        <v/>
      </c>
      <c r="I70" s="17" t="str">
        <f aca="false">IF(A70="","",F70*E70-G70)</f>
        <v/>
      </c>
      <c r="J70" s="3" t="str">
        <f aca="false">IF(A70="","",COUNTIF(Widget_Data!$A$5:$A$500,A70))</f>
        <v/>
      </c>
      <c r="K70" s="3" t="str">
        <f aca="false">IF(OR(A70="",J70=0),"",INDEX(Widget_Data!$C$5:$C$500,MATCH(A70,Widget_Data!$A$5:$A$500,0)))</f>
        <v/>
      </c>
    </row>
    <row r="71" customFormat="false" ht="15" hidden="false" customHeight="false" outlineLevel="0" collapsed="false">
      <c r="F71" s="3" t="str">
        <f aca="false">IF(A71="","",IF(AND(B71&gt;=Summary!$B$3,B71&lt;=Summary!$B$5),1,0))</f>
        <v/>
      </c>
      <c r="G71" s="17" t="str">
        <f aca="false">IF(A71="","",SUMIFS(Widget_Data!$E$5:$E$500,Widget_Data!$A$5:$A$500,A71,Widget_Data!$C$5:$C$500,Summary!$B$4,Widget_Data!$D$5:$D$500,"&gt;="&amp;Summary!$B$3,Widget_Data!$D$5:$D$500,"&lt;="&amp;Summary!$B$5))</f>
        <v/>
      </c>
      <c r="H71" s="3" t="str">
        <f aca="false">IF(A71="","",IF(AND(F71=1,G71&gt;0,ABS(E71-G71)&lt;0.005),"Matched",IF(AND(F71=1,G71&gt;0),"Amount differs",IF(AND(F71=1,J71=0),"Missing in widget",IF(AND(F71=1,K71&lt;&gt;Summary!$B$4),"In widget - not approved",IF(F71=1,"In widget - approved in other month",IF(G71&gt;0,"Counted by widget - cost dated other month","Out of month - not in widget")))))))</f>
        <v/>
      </c>
      <c r="I71" s="17" t="str">
        <f aca="false">IF(A71="","",F71*E71-G71)</f>
        <v/>
      </c>
      <c r="J71" s="3" t="str">
        <f aca="false">IF(A71="","",COUNTIF(Widget_Data!$A$5:$A$500,A71))</f>
        <v/>
      </c>
      <c r="K71" s="3" t="str">
        <f aca="false">IF(OR(A71="",J71=0),"",INDEX(Widget_Data!$C$5:$C$500,MATCH(A71,Widget_Data!$A$5:$A$500,0)))</f>
        <v/>
      </c>
    </row>
    <row r="72" customFormat="false" ht="15" hidden="false" customHeight="false" outlineLevel="0" collapsed="false">
      <c r="F72" s="3" t="str">
        <f aca="false">IF(A72="","",IF(AND(B72&gt;=Summary!$B$3,B72&lt;=Summary!$B$5),1,0))</f>
        <v/>
      </c>
      <c r="G72" s="17" t="str">
        <f aca="false">IF(A72="","",SUMIFS(Widget_Data!$E$5:$E$500,Widget_Data!$A$5:$A$500,A72,Widget_Data!$C$5:$C$500,Summary!$B$4,Widget_Data!$D$5:$D$500,"&gt;="&amp;Summary!$B$3,Widget_Data!$D$5:$D$500,"&lt;="&amp;Summary!$B$5))</f>
        <v/>
      </c>
      <c r="H72" s="3" t="str">
        <f aca="false">IF(A72="","",IF(AND(F72=1,G72&gt;0,ABS(E72-G72)&lt;0.005),"Matched",IF(AND(F72=1,G72&gt;0),"Amount differs",IF(AND(F72=1,J72=0),"Missing in widget",IF(AND(F72=1,K72&lt;&gt;Summary!$B$4),"In widget - not approved",IF(F72=1,"In widget - approved in other month",IF(G72&gt;0,"Counted by widget - cost dated other month","Out of month - not in widget")))))))</f>
        <v/>
      </c>
      <c r="I72" s="17" t="str">
        <f aca="false">IF(A72="","",F72*E72-G72)</f>
        <v/>
      </c>
      <c r="J72" s="3" t="str">
        <f aca="false">IF(A72="","",COUNTIF(Widget_Data!$A$5:$A$500,A72))</f>
        <v/>
      </c>
      <c r="K72" s="3" t="str">
        <f aca="false">IF(OR(A72="",J72=0),"",INDEX(Widget_Data!$C$5:$C$500,MATCH(A72,Widget_Data!$A$5:$A$500,0)))</f>
        <v/>
      </c>
    </row>
    <row r="73" customFormat="false" ht="15" hidden="false" customHeight="false" outlineLevel="0" collapsed="false">
      <c r="F73" s="3" t="str">
        <f aca="false">IF(A73="","",IF(AND(B73&gt;=Summary!$B$3,B73&lt;=Summary!$B$5),1,0))</f>
        <v/>
      </c>
      <c r="G73" s="17" t="str">
        <f aca="false">IF(A73="","",SUMIFS(Widget_Data!$E$5:$E$500,Widget_Data!$A$5:$A$500,A73,Widget_Data!$C$5:$C$500,Summary!$B$4,Widget_Data!$D$5:$D$500,"&gt;="&amp;Summary!$B$3,Widget_Data!$D$5:$D$500,"&lt;="&amp;Summary!$B$5))</f>
        <v/>
      </c>
      <c r="H73" s="3" t="str">
        <f aca="false">IF(A73="","",IF(AND(F73=1,G73&gt;0,ABS(E73-G73)&lt;0.005),"Matched",IF(AND(F73=1,G73&gt;0),"Amount differs",IF(AND(F73=1,J73=0),"Missing in widget",IF(AND(F73=1,K73&lt;&gt;Summary!$B$4),"In widget - not approved",IF(F73=1,"In widget - approved in other month",IF(G73&gt;0,"Counted by widget - cost dated other month","Out of month - not in widget")))))))</f>
        <v/>
      </c>
      <c r="I73" s="17" t="str">
        <f aca="false">IF(A73="","",F73*E73-G73)</f>
        <v/>
      </c>
      <c r="J73" s="3" t="str">
        <f aca="false">IF(A73="","",COUNTIF(Widget_Data!$A$5:$A$500,A73))</f>
        <v/>
      </c>
      <c r="K73" s="3" t="str">
        <f aca="false">IF(OR(A73="",J73=0),"",INDEX(Widget_Data!$C$5:$C$500,MATCH(A73,Widget_Data!$A$5:$A$500,0)))</f>
        <v/>
      </c>
    </row>
    <row r="74" customFormat="false" ht="15" hidden="false" customHeight="false" outlineLevel="0" collapsed="false">
      <c r="F74" s="3" t="str">
        <f aca="false">IF(A74="","",IF(AND(B74&gt;=Summary!$B$3,B74&lt;=Summary!$B$5),1,0))</f>
        <v/>
      </c>
      <c r="G74" s="17" t="str">
        <f aca="false">IF(A74="","",SUMIFS(Widget_Data!$E$5:$E$500,Widget_Data!$A$5:$A$500,A74,Widget_Data!$C$5:$C$500,Summary!$B$4,Widget_Data!$D$5:$D$500,"&gt;="&amp;Summary!$B$3,Widget_Data!$D$5:$D$500,"&lt;="&amp;Summary!$B$5))</f>
        <v/>
      </c>
      <c r="H74" s="3" t="str">
        <f aca="false">IF(A74="","",IF(AND(F74=1,G74&gt;0,ABS(E74-G74)&lt;0.005),"Matched",IF(AND(F74=1,G74&gt;0),"Amount differs",IF(AND(F74=1,J74=0),"Missing in widget",IF(AND(F74=1,K74&lt;&gt;Summary!$B$4),"In widget - not approved",IF(F74=1,"In widget - approved in other month",IF(G74&gt;0,"Counted by widget - cost dated other month","Out of month - not in widget")))))))</f>
        <v/>
      </c>
      <c r="I74" s="17" t="str">
        <f aca="false">IF(A74="","",F74*E74-G74)</f>
        <v/>
      </c>
      <c r="J74" s="3" t="str">
        <f aca="false">IF(A74="","",COUNTIF(Widget_Data!$A$5:$A$500,A74))</f>
        <v/>
      </c>
      <c r="K74" s="3" t="str">
        <f aca="false">IF(OR(A74="",J74=0),"",INDEX(Widget_Data!$C$5:$C$500,MATCH(A74,Widget_Data!$A$5:$A$500,0)))</f>
        <v/>
      </c>
    </row>
    <row r="75" customFormat="false" ht="15" hidden="false" customHeight="false" outlineLevel="0" collapsed="false">
      <c r="F75" s="3" t="str">
        <f aca="false">IF(A75="","",IF(AND(B75&gt;=Summary!$B$3,B75&lt;=Summary!$B$5),1,0))</f>
        <v/>
      </c>
      <c r="G75" s="17" t="str">
        <f aca="false">IF(A75="","",SUMIFS(Widget_Data!$E$5:$E$500,Widget_Data!$A$5:$A$500,A75,Widget_Data!$C$5:$C$500,Summary!$B$4,Widget_Data!$D$5:$D$500,"&gt;="&amp;Summary!$B$3,Widget_Data!$D$5:$D$500,"&lt;="&amp;Summary!$B$5))</f>
        <v/>
      </c>
      <c r="H75" s="3" t="str">
        <f aca="false">IF(A75="","",IF(AND(F75=1,G75&gt;0,ABS(E75-G75)&lt;0.005),"Matched",IF(AND(F75=1,G75&gt;0),"Amount differs",IF(AND(F75=1,J75=0),"Missing in widget",IF(AND(F75=1,K75&lt;&gt;Summary!$B$4),"In widget - not approved",IF(F75=1,"In widget - approved in other month",IF(G75&gt;0,"Counted by widget - cost dated other month","Out of month - not in widget")))))))</f>
        <v/>
      </c>
      <c r="I75" s="17" t="str">
        <f aca="false">IF(A75="","",F75*E75-G75)</f>
        <v/>
      </c>
      <c r="J75" s="3" t="str">
        <f aca="false">IF(A75="","",COUNTIF(Widget_Data!$A$5:$A$500,A75))</f>
        <v/>
      </c>
      <c r="K75" s="3" t="str">
        <f aca="false">IF(OR(A75="",J75=0),"",INDEX(Widget_Data!$C$5:$C$500,MATCH(A75,Widget_Data!$A$5:$A$500,0)))</f>
        <v/>
      </c>
    </row>
    <row r="76" customFormat="false" ht="15" hidden="false" customHeight="false" outlineLevel="0" collapsed="false">
      <c r="F76" s="3" t="str">
        <f aca="false">IF(A76="","",IF(AND(B76&gt;=Summary!$B$3,B76&lt;=Summary!$B$5),1,0))</f>
        <v/>
      </c>
      <c r="G76" s="17" t="str">
        <f aca="false">IF(A76="","",SUMIFS(Widget_Data!$E$5:$E$500,Widget_Data!$A$5:$A$500,A76,Widget_Data!$C$5:$C$500,Summary!$B$4,Widget_Data!$D$5:$D$500,"&gt;="&amp;Summary!$B$3,Widget_Data!$D$5:$D$500,"&lt;="&amp;Summary!$B$5))</f>
        <v/>
      </c>
      <c r="H76" s="3" t="str">
        <f aca="false">IF(A76="","",IF(AND(F76=1,G76&gt;0,ABS(E76-G76)&lt;0.005),"Matched",IF(AND(F76=1,G76&gt;0),"Amount differs",IF(AND(F76=1,J76=0),"Missing in widget",IF(AND(F76=1,K76&lt;&gt;Summary!$B$4),"In widget - not approved",IF(F76=1,"In widget - approved in other month",IF(G76&gt;0,"Counted by widget - cost dated other month","Out of month - not in widget")))))))</f>
        <v/>
      </c>
      <c r="I76" s="17" t="str">
        <f aca="false">IF(A76="","",F76*E76-G76)</f>
        <v/>
      </c>
      <c r="J76" s="3" t="str">
        <f aca="false">IF(A76="","",COUNTIF(Widget_Data!$A$5:$A$500,A76))</f>
        <v/>
      </c>
      <c r="K76" s="3" t="str">
        <f aca="false">IF(OR(A76="",J76=0),"",INDEX(Widget_Data!$C$5:$C$500,MATCH(A76,Widget_Data!$A$5:$A$500,0)))</f>
        <v/>
      </c>
    </row>
    <row r="77" customFormat="false" ht="15" hidden="false" customHeight="false" outlineLevel="0" collapsed="false">
      <c r="F77" s="3" t="str">
        <f aca="false">IF(A77="","",IF(AND(B77&gt;=Summary!$B$3,B77&lt;=Summary!$B$5),1,0))</f>
        <v/>
      </c>
      <c r="G77" s="17" t="str">
        <f aca="false">IF(A77="","",SUMIFS(Widget_Data!$E$5:$E$500,Widget_Data!$A$5:$A$500,A77,Widget_Data!$C$5:$C$500,Summary!$B$4,Widget_Data!$D$5:$D$500,"&gt;="&amp;Summary!$B$3,Widget_Data!$D$5:$D$500,"&lt;="&amp;Summary!$B$5))</f>
        <v/>
      </c>
      <c r="H77" s="3" t="str">
        <f aca="false">IF(A77="","",IF(AND(F77=1,G77&gt;0,ABS(E77-G77)&lt;0.005),"Matched",IF(AND(F77=1,G77&gt;0),"Amount differs",IF(AND(F77=1,J77=0),"Missing in widget",IF(AND(F77=1,K77&lt;&gt;Summary!$B$4),"In widget - not approved",IF(F77=1,"In widget - approved in other month",IF(G77&gt;0,"Counted by widget - cost dated other month","Out of month - not in widget")))))))</f>
        <v/>
      </c>
      <c r="I77" s="17" t="str">
        <f aca="false">IF(A77="","",F77*E77-G77)</f>
        <v/>
      </c>
      <c r="J77" s="3" t="str">
        <f aca="false">IF(A77="","",COUNTIF(Widget_Data!$A$5:$A$500,A77))</f>
        <v/>
      </c>
      <c r="K77" s="3" t="str">
        <f aca="false">IF(OR(A77="",J77=0),"",INDEX(Widget_Data!$C$5:$C$500,MATCH(A77,Widget_Data!$A$5:$A$500,0)))</f>
        <v/>
      </c>
    </row>
    <row r="78" customFormat="false" ht="15" hidden="false" customHeight="false" outlineLevel="0" collapsed="false">
      <c r="F78" s="3" t="str">
        <f aca="false">IF(A78="","",IF(AND(B78&gt;=Summary!$B$3,B78&lt;=Summary!$B$5),1,0))</f>
        <v/>
      </c>
      <c r="G78" s="17" t="str">
        <f aca="false">IF(A78="","",SUMIFS(Widget_Data!$E$5:$E$500,Widget_Data!$A$5:$A$500,A78,Widget_Data!$C$5:$C$500,Summary!$B$4,Widget_Data!$D$5:$D$500,"&gt;="&amp;Summary!$B$3,Widget_Data!$D$5:$D$500,"&lt;="&amp;Summary!$B$5))</f>
        <v/>
      </c>
      <c r="H78" s="3" t="str">
        <f aca="false">IF(A78="","",IF(AND(F78=1,G78&gt;0,ABS(E78-G78)&lt;0.005),"Matched",IF(AND(F78=1,G78&gt;0),"Amount differs",IF(AND(F78=1,J78=0),"Missing in widget",IF(AND(F78=1,K78&lt;&gt;Summary!$B$4),"In widget - not approved",IF(F78=1,"In widget - approved in other month",IF(G78&gt;0,"Counted by widget - cost dated other month","Out of month - not in widget")))))))</f>
        <v/>
      </c>
      <c r="I78" s="17" t="str">
        <f aca="false">IF(A78="","",F78*E78-G78)</f>
        <v/>
      </c>
      <c r="J78" s="3" t="str">
        <f aca="false">IF(A78="","",COUNTIF(Widget_Data!$A$5:$A$500,A78))</f>
        <v/>
      </c>
      <c r="K78" s="3" t="str">
        <f aca="false">IF(OR(A78="",J78=0),"",INDEX(Widget_Data!$C$5:$C$500,MATCH(A78,Widget_Data!$A$5:$A$500,0)))</f>
        <v/>
      </c>
    </row>
    <row r="79" customFormat="false" ht="15" hidden="false" customHeight="false" outlineLevel="0" collapsed="false">
      <c r="F79" s="3" t="str">
        <f aca="false">IF(A79="","",IF(AND(B79&gt;=Summary!$B$3,B79&lt;=Summary!$B$5),1,0))</f>
        <v/>
      </c>
      <c r="G79" s="17" t="str">
        <f aca="false">IF(A79="","",SUMIFS(Widget_Data!$E$5:$E$500,Widget_Data!$A$5:$A$500,A79,Widget_Data!$C$5:$C$500,Summary!$B$4,Widget_Data!$D$5:$D$500,"&gt;="&amp;Summary!$B$3,Widget_Data!$D$5:$D$500,"&lt;="&amp;Summary!$B$5))</f>
        <v/>
      </c>
      <c r="H79" s="3" t="str">
        <f aca="false">IF(A79="","",IF(AND(F79=1,G79&gt;0,ABS(E79-G79)&lt;0.005),"Matched",IF(AND(F79=1,G79&gt;0),"Amount differs",IF(AND(F79=1,J79=0),"Missing in widget",IF(AND(F79=1,K79&lt;&gt;Summary!$B$4),"In widget - not approved",IF(F79=1,"In widget - approved in other month",IF(G79&gt;0,"Counted by widget - cost dated other month","Out of month - not in widget")))))))</f>
        <v/>
      </c>
      <c r="I79" s="17" t="str">
        <f aca="false">IF(A79="","",F79*E79-G79)</f>
        <v/>
      </c>
      <c r="J79" s="3" t="str">
        <f aca="false">IF(A79="","",COUNTIF(Widget_Data!$A$5:$A$500,A79))</f>
        <v/>
      </c>
      <c r="K79" s="3" t="str">
        <f aca="false">IF(OR(A79="",J79=0),"",INDEX(Widget_Data!$C$5:$C$500,MATCH(A79,Widget_Data!$A$5:$A$500,0)))</f>
        <v/>
      </c>
    </row>
    <row r="80" customFormat="false" ht="15" hidden="false" customHeight="false" outlineLevel="0" collapsed="false">
      <c r="F80" s="3" t="str">
        <f aca="false">IF(A80="","",IF(AND(B80&gt;=Summary!$B$3,B80&lt;=Summary!$B$5),1,0))</f>
        <v/>
      </c>
      <c r="G80" s="17" t="str">
        <f aca="false">IF(A80="","",SUMIFS(Widget_Data!$E$5:$E$500,Widget_Data!$A$5:$A$500,A80,Widget_Data!$C$5:$C$500,Summary!$B$4,Widget_Data!$D$5:$D$500,"&gt;="&amp;Summary!$B$3,Widget_Data!$D$5:$D$500,"&lt;="&amp;Summary!$B$5))</f>
        <v/>
      </c>
      <c r="H80" s="3" t="str">
        <f aca="false">IF(A80="","",IF(AND(F80=1,G80&gt;0,ABS(E80-G80)&lt;0.005),"Matched",IF(AND(F80=1,G80&gt;0),"Amount differs",IF(AND(F80=1,J80=0),"Missing in widget",IF(AND(F80=1,K80&lt;&gt;Summary!$B$4),"In widget - not approved",IF(F80=1,"In widget - approved in other month",IF(G80&gt;0,"Counted by widget - cost dated other month","Out of month - not in widget")))))))</f>
        <v/>
      </c>
      <c r="I80" s="17" t="str">
        <f aca="false">IF(A80="","",F80*E80-G80)</f>
        <v/>
      </c>
      <c r="J80" s="3" t="str">
        <f aca="false">IF(A80="","",COUNTIF(Widget_Data!$A$5:$A$500,A80))</f>
        <v/>
      </c>
      <c r="K80" s="3" t="str">
        <f aca="false">IF(OR(A80="",J80=0),"",INDEX(Widget_Data!$C$5:$C$500,MATCH(A80,Widget_Data!$A$5:$A$500,0)))</f>
        <v/>
      </c>
    </row>
    <row r="81" customFormat="false" ht="15" hidden="false" customHeight="false" outlineLevel="0" collapsed="false">
      <c r="F81" s="3" t="str">
        <f aca="false">IF(A81="","",IF(AND(B81&gt;=Summary!$B$3,B81&lt;=Summary!$B$5),1,0))</f>
        <v/>
      </c>
      <c r="G81" s="17" t="str">
        <f aca="false">IF(A81="","",SUMIFS(Widget_Data!$E$5:$E$500,Widget_Data!$A$5:$A$500,A81,Widget_Data!$C$5:$C$500,Summary!$B$4,Widget_Data!$D$5:$D$500,"&gt;="&amp;Summary!$B$3,Widget_Data!$D$5:$D$500,"&lt;="&amp;Summary!$B$5))</f>
        <v/>
      </c>
      <c r="H81" s="3" t="str">
        <f aca="false">IF(A81="","",IF(AND(F81=1,G81&gt;0,ABS(E81-G81)&lt;0.005),"Matched",IF(AND(F81=1,G81&gt;0),"Amount differs",IF(AND(F81=1,J81=0),"Missing in widget",IF(AND(F81=1,K81&lt;&gt;Summary!$B$4),"In widget - not approved",IF(F81=1,"In widget - approved in other month",IF(G81&gt;0,"Counted by widget - cost dated other month","Out of month - not in widget")))))))</f>
        <v/>
      </c>
      <c r="I81" s="17" t="str">
        <f aca="false">IF(A81="","",F81*E81-G81)</f>
        <v/>
      </c>
      <c r="J81" s="3" t="str">
        <f aca="false">IF(A81="","",COUNTIF(Widget_Data!$A$5:$A$500,A81))</f>
        <v/>
      </c>
      <c r="K81" s="3" t="str">
        <f aca="false">IF(OR(A81="",J81=0),"",INDEX(Widget_Data!$C$5:$C$500,MATCH(A81,Widget_Data!$A$5:$A$500,0)))</f>
        <v/>
      </c>
    </row>
    <row r="82" customFormat="false" ht="15" hidden="false" customHeight="false" outlineLevel="0" collapsed="false">
      <c r="F82" s="3" t="str">
        <f aca="false">IF(A82="","",IF(AND(B82&gt;=Summary!$B$3,B82&lt;=Summary!$B$5),1,0))</f>
        <v/>
      </c>
      <c r="G82" s="17" t="str">
        <f aca="false">IF(A82="","",SUMIFS(Widget_Data!$E$5:$E$500,Widget_Data!$A$5:$A$500,A82,Widget_Data!$C$5:$C$500,Summary!$B$4,Widget_Data!$D$5:$D$500,"&gt;="&amp;Summary!$B$3,Widget_Data!$D$5:$D$500,"&lt;="&amp;Summary!$B$5))</f>
        <v/>
      </c>
      <c r="H82" s="3" t="str">
        <f aca="false">IF(A82="","",IF(AND(F82=1,G82&gt;0,ABS(E82-G82)&lt;0.005),"Matched",IF(AND(F82=1,G82&gt;0),"Amount differs",IF(AND(F82=1,J82=0),"Missing in widget",IF(AND(F82=1,K82&lt;&gt;Summary!$B$4),"In widget - not approved",IF(F82=1,"In widget - approved in other month",IF(G82&gt;0,"Counted by widget - cost dated other month","Out of month - not in widget")))))))</f>
        <v/>
      </c>
      <c r="I82" s="17" t="str">
        <f aca="false">IF(A82="","",F82*E82-G82)</f>
        <v/>
      </c>
      <c r="J82" s="3" t="str">
        <f aca="false">IF(A82="","",COUNTIF(Widget_Data!$A$5:$A$500,A82))</f>
        <v/>
      </c>
      <c r="K82" s="3" t="str">
        <f aca="false">IF(OR(A82="",J82=0),"",INDEX(Widget_Data!$C$5:$C$500,MATCH(A82,Widget_Data!$A$5:$A$500,0)))</f>
        <v/>
      </c>
    </row>
    <row r="83" customFormat="false" ht="15" hidden="false" customHeight="false" outlineLevel="0" collapsed="false">
      <c r="F83" s="3" t="str">
        <f aca="false">IF(A83="","",IF(AND(B83&gt;=Summary!$B$3,B83&lt;=Summary!$B$5),1,0))</f>
        <v/>
      </c>
      <c r="G83" s="17" t="str">
        <f aca="false">IF(A83="","",SUMIFS(Widget_Data!$E$5:$E$500,Widget_Data!$A$5:$A$500,A83,Widget_Data!$C$5:$C$500,Summary!$B$4,Widget_Data!$D$5:$D$500,"&gt;="&amp;Summary!$B$3,Widget_Data!$D$5:$D$500,"&lt;="&amp;Summary!$B$5))</f>
        <v/>
      </c>
      <c r="H83" s="3" t="str">
        <f aca="false">IF(A83="","",IF(AND(F83=1,G83&gt;0,ABS(E83-G83)&lt;0.005),"Matched",IF(AND(F83=1,G83&gt;0),"Amount differs",IF(AND(F83=1,J83=0),"Missing in widget",IF(AND(F83=1,K83&lt;&gt;Summary!$B$4),"In widget - not approved",IF(F83=1,"In widget - approved in other month",IF(G83&gt;0,"Counted by widget - cost dated other month","Out of month - not in widget")))))))</f>
        <v/>
      </c>
      <c r="I83" s="17" t="str">
        <f aca="false">IF(A83="","",F83*E83-G83)</f>
        <v/>
      </c>
      <c r="J83" s="3" t="str">
        <f aca="false">IF(A83="","",COUNTIF(Widget_Data!$A$5:$A$500,A83))</f>
        <v/>
      </c>
      <c r="K83" s="3" t="str">
        <f aca="false">IF(OR(A83="",J83=0),"",INDEX(Widget_Data!$C$5:$C$500,MATCH(A83,Widget_Data!$A$5:$A$500,0)))</f>
        <v/>
      </c>
    </row>
    <row r="84" customFormat="false" ht="15" hidden="false" customHeight="false" outlineLevel="0" collapsed="false">
      <c r="F84" s="3" t="str">
        <f aca="false">IF(A84="","",IF(AND(B84&gt;=Summary!$B$3,B84&lt;=Summary!$B$5),1,0))</f>
        <v/>
      </c>
      <c r="G84" s="17" t="str">
        <f aca="false">IF(A84="","",SUMIFS(Widget_Data!$E$5:$E$500,Widget_Data!$A$5:$A$500,A84,Widget_Data!$C$5:$C$500,Summary!$B$4,Widget_Data!$D$5:$D$500,"&gt;="&amp;Summary!$B$3,Widget_Data!$D$5:$D$500,"&lt;="&amp;Summary!$B$5))</f>
        <v/>
      </c>
      <c r="H84" s="3" t="str">
        <f aca="false">IF(A84="","",IF(AND(F84=1,G84&gt;0,ABS(E84-G84)&lt;0.005),"Matched",IF(AND(F84=1,G84&gt;0),"Amount differs",IF(AND(F84=1,J84=0),"Missing in widget",IF(AND(F84=1,K84&lt;&gt;Summary!$B$4),"In widget - not approved",IF(F84=1,"In widget - approved in other month",IF(G84&gt;0,"Counted by widget - cost dated other month","Out of month - not in widget")))))))</f>
        <v/>
      </c>
      <c r="I84" s="17" t="str">
        <f aca="false">IF(A84="","",F84*E84-G84)</f>
        <v/>
      </c>
      <c r="J84" s="3" t="str">
        <f aca="false">IF(A84="","",COUNTIF(Widget_Data!$A$5:$A$500,A84))</f>
        <v/>
      </c>
      <c r="K84" s="3" t="str">
        <f aca="false">IF(OR(A84="",J84=0),"",INDEX(Widget_Data!$C$5:$C$500,MATCH(A84,Widget_Data!$A$5:$A$500,0)))</f>
        <v/>
      </c>
    </row>
    <row r="85" customFormat="false" ht="15" hidden="false" customHeight="false" outlineLevel="0" collapsed="false">
      <c r="F85" s="3" t="str">
        <f aca="false">IF(A85="","",IF(AND(B85&gt;=Summary!$B$3,B85&lt;=Summary!$B$5),1,0))</f>
        <v/>
      </c>
      <c r="G85" s="17" t="str">
        <f aca="false">IF(A85="","",SUMIFS(Widget_Data!$E$5:$E$500,Widget_Data!$A$5:$A$500,A85,Widget_Data!$C$5:$C$500,Summary!$B$4,Widget_Data!$D$5:$D$500,"&gt;="&amp;Summary!$B$3,Widget_Data!$D$5:$D$500,"&lt;="&amp;Summary!$B$5))</f>
        <v/>
      </c>
      <c r="H85" s="3" t="str">
        <f aca="false">IF(A85="","",IF(AND(F85=1,G85&gt;0,ABS(E85-G85)&lt;0.005),"Matched",IF(AND(F85=1,G85&gt;0),"Amount differs",IF(AND(F85=1,J85=0),"Missing in widget",IF(AND(F85=1,K85&lt;&gt;Summary!$B$4),"In widget - not approved",IF(F85=1,"In widget - approved in other month",IF(G85&gt;0,"Counted by widget - cost dated other month","Out of month - not in widget")))))))</f>
        <v/>
      </c>
      <c r="I85" s="17" t="str">
        <f aca="false">IF(A85="","",F85*E85-G85)</f>
        <v/>
      </c>
      <c r="J85" s="3" t="str">
        <f aca="false">IF(A85="","",COUNTIF(Widget_Data!$A$5:$A$500,A85))</f>
        <v/>
      </c>
      <c r="K85" s="3" t="str">
        <f aca="false">IF(OR(A85="",J85=0),"",INDEX(Widget_Data!$C$5:$C$500,MATCH(A85,Widget_Data!$A$5:$A$500,0)))</f>
        <v/>
      </c>
    </row>
    <row r="86" customFormat="false" ht="15" hidden="false" customHeight="false" outlineLevel="0" collapsed="false">
      <c r="F86" s="3" t="str">
        <f aca="false">IF(A86="","",IF(AND(B86&gt;=Summary!$B$3,B86&lt;=Summary!$B$5),1,0))</f>
        <v/>
      </c>
      <c r="G86" s="17" t="str">
        <f aca="false">IF(A86="","",SUMIFS(Widget_Data!$E$5:$E$500,Widget_Data!$A$5:$A$500,A86,Widget_Data!$C$5:$C$500,Summary!$B$4,Widget_Data!$D$5:$D$500,"&gt;="&amp;Summary!$B$3,Widget_Data!$D$5:$D$500,"&lt;="&amp;Summary!$B$5))</f>
        <v/>
      </c>
      <c r="H86" s="3" t="str">
        <f aca="false">IF(A86="","",IF(AND(F86=1,G86&gt;0,ABS(E86-G86)&lt;0.005),"Matched",IF(AND(F86=1,G86&gt;0),"Amount differs",IF(AND(F86=1,J86=0),"Missing in widget",IF(AND(F86=1,K86&lt;&gt;Summary!$B$4),"In widget - not approved",IF(F86=1,"In widget - approved in other month",IF(G86&gt;0,"Counted by widget - cost dated other month","Out of month - not in widget")))))))</f>
        <v/>
      </c>
      <c r="I86" s="17" t="str">
        <f aca="false">IF(A86="","",F86*E86-G86)</f>
        <v/>
      </c>
      <c r="J86" s="3" t="str">
        <f aca="false">IF(A86="","",COUNTIF(Widget_Data!$A$5:$A$500,A86))</f>
        <v/>
      </c>
      <c r="K86" s="3" t="str">
        <f aca="false">IF(OR(A86="",J86=0),"",INDEX(Widget_Data!$C$5:$C$500,MATCH(A86,Widget_Data!$A$5:$A$500,0)))</f>
        <v/>
      </c>
    </row>
    <row r="87" customFormat="false" ht="15" hidden="false" customHeight="false" outlineLevel="0" collapsed="false">
      <c r="F87" s="3" t="str">
        <f aca="false">IF(A87="","",IF(AND(B87&gt;=Summary!$B$3,B87&lt;=Summary!$B$5),1,0))</f>
        <v/>
      </c>
      <c r="G87" s="17" t="str">
        <f aca="false">IF(A87="","",SUMIFS(Widget_Data!$E$5:$E$500,Widget_Data!$A$5:$A$500,A87,Widget_Data!$C$5:$C$500,Summary!$B$4,Widget_Data!$D$5:$D$500,"&gt;="&amp;Summary!$B$3,Widget_Data!$D$5:$D$500,"&lt;="&amp;Summary!$B$5))</f>
        <v/>
      </c>
      <c r="H87" s="3" t="str">
        <f aca="false">IF(A87="","",IF(AND(F87=1,G87&gt;0,ABS(E87-G87)&lt;0.005),"Matched",IF(AND(F87=1,G87&gt;0),"Amount differs",IF(AND(F87=1,J87=0),"Missing in widget",IF(AND(F87=1,K87&lt;&gt;Summary!$B$4),"In widget - not approved",IF(F87=1,"In widget - approved in other month",IF(G87&gt;0,"Counted by widget - cost dated other month","Out of month - not in widget")))))))</f>
        <v/>
      </c>
      <c r="I87" s="17" t="str">
        <f aca="false">IF(A87="","",F87*E87-G87)</f>
        <v/>
      </c>
      <c r="J87" s="3" t="str">
        <f aca="false">IF(A87="","",COUNTIF(Widget_Data!$A$5:$A$500,A87))</f>
        <v/>
      </c>
      <c r="K87" s="3" t="str">
        <f aca="false">IF(OR(A87="",J87=0),"",INDEX(Widget_Data!$C$5:$C$500,MATCH(A87,Widget_Data!$A$5:$A$500,0)))</f>
        <v/>
      </c>
    </row>
    <row r="88" customFormat="false" ht="15" hidden="false" customHeight="false" outlineLevel="0" collapsed="false">
      <c r="F88" s="3" t="str">
        <f aca="false">IF(A88="","",IF(AND(B88&gt;=Summary!$B$3,B88&lt;=Summary!$B$5),1,0))</f>
        <v/>
      </c>
      <c r="G88" s="17" t="str">
        <f aca="false">IF(A88="","",SUMIFS(Widget_Data!$E$5:$E$500,Widget_Data!$A$5:$A$500,A88,Widget_Data!$C$5:$C$500,Summary!$B$4,Widget_Data!$D$5:$D$500,"&gt;="&amp;Summary!$B$3,Widget_Data!$D$5:$D$500,"&lt;="&amp;Summary!$B$5))</f>
        <v/>
      </c>
      <c r="H88" s="3" t="str">
        <f aca="false">IF(A88="","",IF(AND(F88=1,G88&gt;0,ABS(E88-G88)&lt;0.005),"Matched",IF(AND(F88=1,G88&gt;0),"Amount differs",IF(AND(F88=1,J88=0),"Missing in widget",IF(AND(F88=1,K88&lt;&gt;Summary!$B$4),"In widget - not approved",IF(F88=1,"In widget - approved in other month",IF(G88&gt;0,"Counted by widget - cost dated other month","Out of month - not in widget")))))))</f>
        <v/>
      </c>
      <c r="I88" s="17" t="str">
        <f aca="false">IF(A88="","",F88*E88-G88)</f>
        <v/>
      </c>
      <c r="J88" s="3" t="str">
        <f aca="false">IF(A88="","",COUNTIF(Widget_Data!$A$5:$A$500,A88))</f>
        <v/>
      </c>
      <c r="K88" s="3" t="str">
        <f aca="false">IF(OR(A88="",J88=0),"",INDEX(Widget_Data!$C$5:$C$500,MATCH(A88,Widget_Data!$A$5:$A$500,0)))</f>
        <v/>
      </c>
    </row>
    <row r="89" customFormat="false" ht="15" hidden="false" customHeight="false" outlineLevel="0" collapsed="false">
      <c r="F89" s="3" t="str">
        <f aca="false">IF(A89="","",IF(AND(B89&gt;=Summary!$B$3,B89&lt;=Summary!$B$5),1,0))</f>
        <v/>
      </c>
      <c r="G89" s="17" t="str">
        <f aca="false">IF(A89="","",SUMIFS(Widget_Data!$E$5:$E$500,Widget_Data!$A$5:$A$500,A89,Widget_Data!$C$5:$C$500,Summary!$B$4,Widget_Data!$D$5:$D$500,"&gt;="&amp;Summary!$B$3,Widget_Data!$D$5:$D$500,"&lt;="&amp;Summary!$B$5))</f>
        <v/>
      </c>
      <c r="H89" s="3" t="str">
        <f aca="false">IF(A89="","",IF(AND(F89=1,G89&gt;0,ABS(E89-G89)&lt;0.005),"Matched",IF(AND(F89=1,G89&gt;0),"Amount differs",IF(AND(F89=1,J89=0),"Missing in widget",IF(AND(F89=1,K89&lt;&gt;Summary!$B$4),"In widget - not approved",IF(F89=1,"In widget - approved in other month",IF(G89&gt;0,"Counted by widget - cost dated other month","Out of month - not in widget")))))))</f>
        <v/>
      </c>
      <c r="I89" s="17" t="str">
        <f aca="false">IF(A89="","",F89*E89-G89)</f>
        <v/>
      </c>
      <c r="J89" s="3" t="str">
        <f aca="false">IF(A89="","",COUNTIF(Widget_Data!$A$5:$A$500,A89))</f>
        <v/>
      </c>
      <c r="K89" s="3" t="str">
        <f aca="false">IF(OR(A89="",J89=0),"",INDEX(Widget_Data!$C$5:$C$500,MATCH(A89,Widget_Data!$A$5:$A$500,0)))</f>
        <v/>
      </c>
    </row>
    <row r="90" customFormat="false" ht="15" hidden="false" customHeight="false" outlineLevel="0" collapsed="false">
      <c r="F90" s="3" t="str">
        <f aca="false">IF(A90="","",IF(AND(B90&gt;=Summary!$B$3,B90&lt;=Summary!$B$5),1,0))</f>
        <v/>
      </c>
      <c r="G90" s="17" t="str">
        <f aca="false">IF(A90="","",SUMIFS(Widget_Data!$E$5:$E$500,Widget_Data!$A$5:$A$500,A90,Widget_Data!$C$5:$C$500,Summary!$B$4,Widget_Data!$D$5:$D$500,"&gt;="&amp;Summary!$B$3,Widget_Data!$D$5:$D$500,"&lt;="&amp;Summary!$B$5))</f>
        <v/>
      </c>
      <c r="H90" s="3" t="str">
        <f aca="false">IF(A90="","",IF(AND(F90=1,G90&gt;0,ABS(E90-G90)&lt;0.005),"Matched",IF(AND(F90=1,G90&gt;0),"Amount differs",IF(AND(F90=1,J90=0),"Missing in widget",IF(AND(F90=1,K90&lt;&gt;Summary!$B$4),"In widget - not approved",IF(F90=1,"In widget - approved in other month",IF(G90&gt;0,"Counted by widget - cost dated other month","Out of month - not in widget")))))))</f>
        <v/>
      </c>
      <c r="I90" s="17" t="str">
        <f aca="false">IF(A90="","",F90*E90-G90)</f>
        <v/>
      </c>
      <c r="J90" s="3" t="str">
        <f aca="false">IF(A90="","",COUNTIF(Widget_Data!$A$5:$A$500,A90))</f>
        <v/>
      </c>
      <c r="K90" s="3" t="str">
        <f aca="false">IF(OR(A90="",J90=0),"",INDEX(Widget_Data!$C$5:$C$500,MATCH(A90,Widget_Data!$A$5:$A$500,0)))</f>
        <v/>
      </c>
    </row>
    <row r="91" customFormat="false" ht="15" hidden="false" customHeight="false" outlineLevel="0" collapsed="false">
      <c r="F91" s="3" t="str">
        <f aca="false">IF(A91="","",IF(AND(B91&gt;=Summary!$B$3,B91&lt;=Summary!$B$5),1,0))</f>
        <v/>
      </c>
      <c r="G91" s="17" t="str">
        <f aca="false">IF(A91="","",SUMIFS(Widget_Data!$E$5:$E$500,Widget_Data!$A$5:$A$500,A91,Widget_Data!$C$5:$C$500,Summary!$B$4,Widget_Data!$D$5:$D$500,"&gt;="&amp;Summary!$B$3,Widget_Data!$D$5:$D$500,"&lt;="&amp;Summary!$B$5))</f>
        <v/>
      </c>
      <c r="H91" s="3" t="str">
        <f aca="false">IF(A91="","",IF(AND(F91=1,G91&gt;0,ABS(E91-G91)&lt;0.005),"Matched",IF(AND(F91=1,G91&gt;0),"Amount differs",IF(AND(F91=1,J91=0),"Missing in widget",IF(AND(F91=1,K91&lt;&gt;Summary!$B$4),"In widget - not approved",IF(F91=1,"In widget - approved in other month",IF(G91&gt;0,"Counted by widget - cost dated other month","Out of month - not in widget")))))))</f>
        <v/>
      </c>
      <c r="I91" s="17" t="str">
        <f aca="false">IF(A91="","",F91*E91-G91)</f>
        <v/>
      </c>
      <c r="J91" s="3" t="str">
        <f aca="false">IF(A91="","",COUNTIF(Widget_Data!$A$5:$A$500,A91))</f>
        <v/>
      </c>
      <c r="K91" s="3" t="str">
        <f aca="false">IF(OR(A91="",J91=0),"",INDEX(Widget_Data!$C$5:$C$500,MATCH(A91,Widget_Data!$A$5:$A$500,0)))</f>
        <v/>
      </c>
    </row>
    <row r="92" customFormat="false" ht="15" hidden="false" customHeight="false" outlineLevel="0" collapsed="false">
      <c r="F92" s="3" t="str">
        <f aca="false">IF(A92="","",IF(AND(B92&gt;=Summary!$B$3,B92&lt;=Summary!$B$5),1,0))</f>
        <v/>
      </c>
      <c r="G92" s="17" t="str">
        <f aca="false">IF(A92="","",SUMIFS(Widget_Data!$E$5:$E$500,Widget_Data!$A$5:$A$500,A92,Widget_Data!$C$5:$C$500,Summary!$B$4,Widget_Data!$D$5:$D$500,"&gt;="&amp;Summary!$B$3,Widget_Data!$D$5:$D$500,"&lt;="&amp;Summary!$B$5))</f>
        <v/>
      </c>
      <c r="H92" s="3" t="str">
        <f aca="false">IF(A92="","",IF(AND(F92=1,G92&gt;0,ABS(E92-G92)&lt;0.005),"Matched",IF(AND(F92=1,G92&gt;0),"Amount differs",IF(AND(F92=1,J92=0),"Missing in widget",IF(AND(F92=1,K92&lt;&gt;Summary!$B$4),"In widget - not approved",IF(F92=1,"In widget - approved in other month",IF(G92&gt;0,"Counted by widget - cost dated other month","Out of month - not in widget")))))))</f>
        <v/>
      </c>
      <c r="I92" s="17" t="str">
        <f aca="false">IF(A92="","",F92*E92-G92)</f>
        <v/>
      </c>
      <c r="J92" s="3" t="str">
        <f aca="false">IF(A92="","",COUNTIF(Widget_Data!$A$5:$A$500,A92))</f>
        <v/>
      </c>
      <c r="K92" s="3" t="str">
        <f aca="false">IF(OR(A92="",J92=0),"",INDEX(Widget_Data!$C$5:$C$500,MATCH(A92,Widget_Data!$A$5:$A$500,0)))</f>
        <v/>
      </c>
    </row>
    <row r="93" customFormat="false" ht="15" hidden="false" customHeight="false" outlineLevel="0" collapsed="false">
      <c r="F93" s="3" t="str">
        <f aca="false">IF(A93="","",IF(AND(B93&gt;=Summary!$B$3,B93&lt;=Summary!$B$5),1,0))</f>
        <v/>
      </c>
      <c r="G93" s="17" t="str">
        <f aca="false">IF(A93="","",SUMIFS(Widget_Data!$E$5:$E$500,Widget_Data!$A$5:$A$500,A93,Widget_Data!$C$5:$C$500,Summary!$B$4,Widget_Data!$D$5:$D$500,"&gt;="&amp;Summary!$B$3,Widget_Data!$D$5:$D$500,"&lt;="&amp;Summary!$B$5))</f>
        <v/>
      </c>
      <c r="H93" s="3" t="str">
        <f aca="false">IF(A93="","",IF(AND(F93=1,G93&gt;0,ABS(E93-G93)&lt;0.005),"Matched",IF(AND(F93=1,G93&gt;0),"Amount differs",IF(AND(F93=1,J93=0),"Missing in widget",IF(AND(F93=1,K93&lt;&gt;Summary!$B$4),"In widget - not approved",IF(F93=1,"In widget - approved in other month",IF(G93&gt;0,"Counted by widget - cost dated other month","Out of month - not in widget")))))))</f>
        <v/>
      </c>
      <c r="I93" s="17" t="str">
        <f aca="false">IF(A93="","",F93*E93-G93)</f>
        <v/>
      </c>
      <c r="J93" s="3" t="str">
        <f aca="false">IF(A93="","",COUNTIF(Widget_Data!$A$5:$A$500,A93))</f>
        <v/>
      </c>
      <c r="K93" s="3" t="str">
        <f aca="false">IF(OR(A93="",J93=0),"",INDEX(Widget_Data!$C$5:$C$500,MATCH(A93,Widget_Data!$A$5:$A$500,0)))</f>
        <v/>
      </c>
    </row>
    <row r="94" customFormat="false" ht="15" hidden="false" customHeight="false" outlineLevel="0" collapsed="false">
      <c r="F94" s="3" t="str">
        <f aca="false">IF(A94="","",IF(AND(B94&gt;=Summary!$B$3,B94&lt;=Summary!$B$5),1,0))</f>
        <v/>
      </c>
      <c r="G94" s="17" t="str">
        <f aca="false">IF(A94="","",SUMIFS(Widget_Data!$E$5:$E$500,Widget_Data!$A$5:$A$500,A94,Widget_Data!$C$5:$C$500,Summary!$B$4,Widget_Data!$D$5:$D$500,"&gt;="&amp;Summary!$B$3,Widget_Data!$D$5:$D$500,"&lt;="&amp;Summary!$B$5))</f>
        <v/>
      </c>
      <c r="H94" s="3" t="str">
        <f aca="false">IF(A94="","",IF(AND(F94=1,G94&gt;0,ABS(E94-G94)&lt;0.005),"Matched",IF(AND(F94=1,G94&gt;0),"Amount differs",IF(AND(F94=1,J94=0),"Missing in widget",IF(AND(F94=1,K94&lt;&gt;Summary!$B$4),"In widget - not approved",IF(F94=1,"In widget - approved in other month",IF(G94&gt;0,"Counted by widget - cost dated other month","Out of month - not in widget")))))))</f>
        <v/>
      </c>
      <c r="I94" s="17" t="str">
        <f aca="false">IF(A94="","",F94*E94-G94)</f>
        <v/>
      </c>
      <c r="J94" s="3" t="str">
        <f aca="false">IF(A94="","",COUNTIF(Widget_Data!$A$5:$A$500,A94))</f>
        <v/>
      </c>
      <c r="K94" s="3" t="str">
        <f aca="false">IF(OR(A94="",J94=0),"",INDEX(Widget_Data!$C$5:$C$500,MATCH(A94,Widget_Data!$A$5:$A$500,0)))</f>
        <v/>
      </c>
    </row>
    <row r="95" customFormat="false" ht="15" hidden="false" customHeight="false" outlineLevel="0" collapsed="false">
      <c r="F95" s="3" t="str">
        <f aca="false">IF(A95="","",IF(AND(B95&gt;=Summary!$B$3,B95&lt;=Summary!$B$5),1,0))</f>
        <v/>
      </c>
      <c r="G95" s="17" t="str">
        <f aca="false">IF(A95="","",SUMIFS(Widget_Data!$E$5:$E$500,Widget_Data!$A$5:$A$500,A95,Widget_Data!$C$5:$C$500,Summary!$B$4,Widget_Data!$D$5:$D$500,"&gt;="&amp;Summary!$B$3,Widget_Data!$D$5:$D$500,"&lt;="&amp;Summary!$B$5))</f>
        <v/>
      </c>
      <c r="H95" s="3" t="str">
        <f aca="false">IF(A95="","",IF(AND(F95=1,G95&gt;0,ABS(E95-G95)&lt;0.005),"Matched",IF(AND(F95=1,G95&gt;0),"Amount differs",IF(AND(F95=1,J95=0),"Missing in widget",IF(AND(F95=1,K95&lt;&gt;Summary!$B$4),"In widget - not approved",IF(F95=1,"In widget - approved in other month",IF(G95&gt;0,"Counted by widget - cost dated other month","Out of month - not in widget")))))))</f>
        <v/>
      </c>
      <c r="I95" s="17" t="str">
        <f aca="false">IF(A95="","",F95*E95-G95)</f>
        <v/>
      </c>
      <c r="J95" s="3" t="str">
        <f aca="false">IF(A95="","",COUNTIF(Widget_Data!$A$5:$A$500,A95))</f>
        <v/>
      </c>
      <c r="K95" s="3" t="str">
        <f aca="false">IF(OR(A95="",J95=0),"",INDEX(Widget_Data!$C$5:$C$500,MATCH(A95,Widget_Data!$A$5:$A$500,0)))</f>
        <v/>
      </c>
    </row>
    <row r="96" customFormat="false" ht="15" hidden="false" customHeight="false" outlineLevel="0" collapsed="false">
      <c r="F96" s="3" t="str">
        <f aca="false">IF(A96="","",IF(AND(B96&gt;=Summary!$B$3,B96&lt;=Summary!$B$5),1,0))</f>
        <v/>
      </c>
      <c r="G96" s="17" t="str">
        <f aca="false">IF(A96="","",SUMIFS(Widget_Data!$E$5:$E$500,Widget_Data!$A$5:$A$500,A96,Widget_Data!$C$5:$C$500,Summary!$B$4,Widget_Data!$D$5:$D$500,"&gt;="&amp;Summary!$B$3,Widget_Data!$D$5:$D$500,"&lt;="&amp;Summary!$B$5))</f>
        <v/>
      </c>
      <c r="H96" s="3" t="str">
        <f aca="false">IF(A96="","",IF(AND(F96=1,G96&gt;0,ABS(E96-G96)&lt;0.005),"Matched",IF(AND(F96=1,G96&gt;0),"Amount differs",IF(AND(F96=1,J96=0),"Missing in widget",IF(AND(F96=1,K96&lt;&gt;Summary!$B$4),"In widget - not approved",IF(F96=1,"In widget - approved in other month",IF(G96&gt;0,"Counted by widget - cost dated other month","Out of month - not in widget")))))))</f>
        <v/>
      </c>
      <c r="I96" s="17" t="str">
        <f aca="false">IF(A96="","",F96*E96-G96)</f>
        <v/>
      </c>
      <c r="J96" s="3" t="str">
        <f aca="false">IF(A96="","",COUNTIF(Widget_Data!$A$5:$A$500,A96))</f>
        <v/>
      </c>
      <c r="K96" s="3" t="str">
        <f aca="false">IF(OR(A96="",J96=0),"",INDEX(Widget_Data!$C$5:$C$500,MATCH(A96,Widget_Data!$A$5:$A$500,0)))</f>
        <v/>
      </c>
    </row>
    <row r="97" customFormat="false" ht="15" hidden="false" customHeight="false" outlineLevel="0" collapsed="false">
      <c r="F97" s="3" t="str">
        <f aca="false">IF(A97="","",IF(AND(B97&gt;=Summary!$B$3,B97&lt;=Summary!$B$5),1,0))</f>
        <v/>
      </c>
      <c r="G97" s="17" t="str">
        <f aca="false">IF(A97="","",SUMIFS(Widget_Data!$E$5:$E$500,Widget_Data!$A$5:$A$500,A97,Widget_Data!$C$5:$C$500,Summary!$B$4,Widget_Data!$D$5:$D$500,"&gt;="&amp;Summary!$B$3,Widget_Data!$D$5:$D$500,"&lt;="&amp;Summary!$B$5))</f>
        <v/>
      </c>
      <c r="H97" s="3" t="str">
        <f aca="false">IF(A97="","",IF(AND(F97=1,G97&gt;0,ABS(E97-G97)&lt;0.005),"Matched",IF(AND(F97=1,G97&gt;0),"Amount differs",IF(AND(F97=1,J97=0),"Missing in widget",IF(AND(F97=1,K97&lt;&gt;Summary!$B$4),"In widget - not approved",IF(F97=1,"In widget - approved in other month",IF(G97&gt;0,"Counted by widget - cost dated other month","Out of month - not in widget")))))))</f>
        <v/>
      </c>
      <c r="I97" s="17" t="str">
        <f aca="false">IF(A97="","",F97*E97-G97)</f>
        <v/>
      </c>
      <c r="J97" s="3" t="str">
        <f aca="false">IF(A97="","",COUNTIF(Widget_Data!$A$5:$A$500,A97))</f>
        <v/>
      </c>
      <c r="K97" s="3" t="str">
        <f aca="false">IF(OR(A97="",J97=0),"",INDEX(Widget_Data!$C$5:$C$500,MATCH(A97,Widget_Data!$A$5:$A$500,0)))</f>
        <v/>
      </c>
    </row>
    <row r="98" customFormat="false" ht="15" hidden="false" customHeight="false" outlineLevel="0" collapsed="false">
      <c r="F98" s="3" t="str">
        <f aca="false">IF(A98="","",IF(AND(B98&gt;=Summary!$B$3,B98&lt;=Summary!$B$5),1,0))</f>
        <v/>
      </c>
      <c r="G98" s="17" t="str">
        <f aca="false">IF(A98="","",SUMIFS(Widget_Data!$E$5:$E$500,Widget_Data!$A$5:$A$500,A98,Widget_Data!$C$5:$C$500,Summary!$B$4,Widget_Data!$D$5:$D$500,"&gt;="&amp;Summary!$B$3,Widget_Data!$D$5:$D$500,"&lt;="&amp;Summary!$B$5))</f>
        <v/>
      </c>
      <c r="H98" s="3" t="str">
        <f aca="false">IF(A98="","",IF(AND(F98=1,G98&gt;0,ABS(E98-G98)&lt;0.005),"Matched",IF(AND(F98=1,G98&gt;0),"Amount differs",IF(AND(F98=1,J98=0),"Missing in widget",IF(AND(F98=1,K98&lt;&gt;Summary!$B$4),"In widget - not approved",IF(F98=1,"In widget - approved in other month",IF(G98&gt;0,"Counted by widget - cost dated other month","Out of month - not in widget")))))))</f>
        <v/>
      </c>
      <c r="I98" s="17" t="str">
        <f aca="false">IF(A98="","",F98*E98-G98)</f>
        <v/>
      </c>
      <c r="J98" s="3" t="str">
        <f aca="false">IF(A98="","",COUNTIF(Widget_Data!$A$5:$A$500,A98))</f>
        <v/>
      </c>
      <c r="K98" s="3" t="str">
        <f aca="false">IF(OR(A98="",J98=0),"",INDEX(Widget_Data!$C$5:$C$500,MATCH(A98,Widget_Data!$A$5:$A$500,0)))</f>
        <v/>
      </c>
    </row>
    <row r="99" customFormat="false" ht="15" hidden="false" customHeight="false" outlineLevel="0" collapsed="false">
      <c r="F99" s="3" t="str">
        <f aca="false">IF(A99="","",IF(AND(B99&gt;=Summary!$B$3,B99&lt;=Summary!$B$5),1,0))</f>
        <v/>
      </c>
      <c r="G99" s="17" t="str">
        <f aca="false">IF(A99="","",SUMIFS(Widget_Data!$E$5:$E$500,Widget_Data!$A$5:$A$500,A99,Widget_Data!$C$5:$C$500,Summary!$B$4,Widget_Data!$D$5:$D$500,"&gt;="&amp;Summary!$B$3,Widget_Data!$D$5:$D$500,"&lt;="&amp;Summary!$B$5))</f>
        <v/>
      </c>
      <c r="H99" s="3" t="str">
        <f aca="false">IF(A99="","",IF(AND(F99=1,G99&gt;0,ABS(E99-G99)&lt;0.005),"Matched",IF(AND(F99=1,G99&gt;0),"Amount differs",IF(AND(F99=1,J99=0),"Missing in widget",IF(AND(F99=1,K99&lt;&gt;Summary!$B$4),"In widget - not approved",IF(F99=1,"In widget - approved in other month",IF(G99&gt;0,"Counted by widget - cost dated other month","Out of month - not in widget")))))))</f>
        <v/>
      </c>
      <c r="I99" s="17" t="str">
        <f aca="false">IF(A99="","",F99*E99-G99)</f>
        <v/>
      </c>
      <c r="J99" s="3" t="str">
        <f aca="false">IF(A99="","",COUNTIF(Widget_Data!$A$5:$A$500,A99))</f>
        <v/>
      </c>
      <c r="K99" s="3" t="str">
        <f aca="false">IF(OR(A99="",J99=0),"",INDEX(Widget_Data!$C$5:$C$500,MATCH(A99,Widget_Data!$A$5:$A$500,0)))</f>
        <v/>
      </c>
    </row>
    <row r="100" customFormat="false" ht="15" hidden="false" customHeight="false" outlineLevel="0" collapsed="false">
      <c r="F100" s="3" t="str">
        <f aca="false">IF(A100="","",IF(AND(B100&gt;=Summary!$B$3,B100&lt;=Summary!$B$5),1,0))</f>
        <v/>
      </c>
      <c r="G100" s="17" t="str">
        <f aca="false">IF(A100="","",SUMIFS(Widget_Data!$E$5:$E$500,Widget_Data!$A$5:$A$500,A100,Widget_Data!$C$5:$C$500,Summary!$B$4,Widget_Data!$D$5:$D$500,"&gt;="&amp;Summary!$B$3,Widget_Data!$D$5:$D$500,"&lt;="&amp;Summary!$B$5))</f>
        <v/>
      </c>
      <c r="H100" s="3" t="str">
        <f aca="false">IF(A100="","",IF(AND(F100=1,G100&gt;0,ABS(E100-G100)&lt;0.005),"Matched",IF(AND(F100=1,G100&gt;0),"Amount differs",IF(AND(F100=1,J100=0),"Missing in widget",IF(AND(F100=1,K100&lt;&gt;Summary!$B$4),"In widget - not approved",IF(F100=1,"In widget - approved in other month",IF(G100&gt;0,"Counted by widget - cost dated other month","Out of month - not in widget")))))))</f>
        <v/>
      </c>
      <c r="I100" s="17" t="str">
        <f aca="false">IF(A100="","",F100*E100-G100)</f>
        <v/>
      </c>
      <c r="J100" s="3" t="str">
        <f aca="false">IF(A100="","",COUNTIF(Widget_Data!$A$5:$A$500,A100))</f>
        <v/>
      </c>
      <c r="K100" s="3" t="str">
        <f aca="false">IF(OR(A100="",J100=0),"",INDEX(Widget_Data!$C$5:$C$500,MATCH(A100,Widget_Data!$A$5:$A$500,0)))</f>
        <v/>
      </c>
    </row>
    <row r="101" customFormat="false" ht="15" hidden="false" customHeight="false" outlineLevel="0" collapsed="false">
      <c r="F101" s="3" t="str">
        <f aca="false">IF(A101="","",IF(AND(B101&gt;=Summary!$B$3,B101&lt;=Summary!$B$5),1,0))</f>
        <v/>
      </c>
      <c r="G101" s="17" t="str">
        <f aca="false">IF(A101="","",SUMIFS(Widget_Data!$E$5:$E$500,Widget_Data!$A$5:$A$500,A101,Widget_Data!$C$5:$C$500,Summary!$B$4,Widget_Data!$D$5:$D$500,"&gt;="&amp;Summary!$B$3,Widget_Data!$D$5:$D$500,"&lt;="&amp;Summary!$B$5))</f>
        <v/>
      </c>
      <c r="H101" s="3" t="str">
        <f aca="false">IF(A101="","",IF(AND(F101=1,G101&gt;0,ABS(E101-G101)&lt;0.005),"Matched",IF(AND(F101=1,G101&gt;0),"Amount differs",IF(AND(F101=1,J101=0),"Missing in widget",IF(AND(F101=1,K101&lt;&gt;Summary!$B$4),"In widget - not approved",IF(F101=1,"In widget - approved in other month",IF(G101&gt;0,"Counted by widget - cost dated other month","Out of month - not in widget")))))))</f>
        <v/>
      </c>
      <c r="I101" s="17" t="str">
        <f aca="false">IF(A101="","",F101*E101-G101)</f>
        <v/>
      </c>
      <c r="J101" s="3" t="str">
        <f aca="false">IF(A101="","",COUNTIF(Widget_Data!$A$5:$A$500,A101))</f>
        <v/>
      </c>
      <c r="K101" s="3" t="str">
        <f aca="false">IF(OR(A101="",J101=0),"",INDEX(Widget_Data!$C$5:$C$500,MATCH(A101,Widget_Data!$A$5:$A$500,0)))</f>
        <v/>
      </c>
    </row>
    <row r="102" customFormat="false" ht="15" hidden="false" customHeight="false" outlineLevel="0" collapsed="false">
      <c r="F102" s="3" t="str">
        <f aca="false">IF(A102="","",IF(AND(B102&gt;=Summary!$B$3,B102&lt;=Summary!$B$5),1,0))</f>
        <v/>
      </c>
      <c r="G102" s="17" t="str">
        <f aca="false">IF(A102="","",SUMIFS(Widget_Data!$E$5:$E$500,Widget_Data!$A$5:$A$500,A102,Widget_Data!$C$5:$C$500,Summary!$B$4,Widget_Data!$D$5:$D$500,"&gt;="&amp;Summary!$B$3,Widget_Data!$D$5:$D$500,"&lt;="&amp;Summary!$B$5))</f>
        <v/>
      </c>
      <c r="H102" s="3" t="str">
        <f aca="false">IF(A102="","",IF(AND(F102=1,G102&gt;0,ABS(E102-G102)&lt;0.005),"Matched",IF(AND(F102=1,G102&gt;0),"Amount differs",IF(AND(F102=1,J102=0),"Missing in widget",IF(AND(F102=1,K102&lt;&gt;Summary!$B$4),"In widget - not approved",IF(F102=1,"In widget - approved in other month",IF(G102&gt;0,"Counted by widget - cost dated other month","Out of month - not in widget")))))))</f>
        <v/>
      </c>
      <c r="I102" s="17" t="str">
        <f aca="false">IF(A102="","",F102*E102-G102)</f>
        <v/>
      </c>
      <c r="J102" s="3" t="str">
        <f aca="false">IF(A102="","",COUNTIF(Widget_Data!$A$5:$A$500,A102))</f>
        <v/>
      </c>
      <c r="K102" s="3" t="str">
        <f aca="false">IF(OR(A102="",J102=0),"",INDEX(Widget_Data!$C$5:$C$500,MATCH(A102,Widget_Data!$A$5:$A$500,0)))</f>
        <v/>
      </c>
    </row>
    <row r="103" customFormat="false" ht="15" hidden="false" customHeight="false" outlineLevel="0" collapsed="false">
      <c r="F103" s="3" t="str">
        <f aca="false">IF(A103="","",IF(AND(B103&gt;=Summary!$B$3,B103&lt;=Summary!$B$5),1,0))</f>
        <v/>
      </c>
      <c r="G103" s="17" t="str">
        <f aca="false">IF(A103="","",SUMIFS(Widget_Data!$E$5:$E$500,Widget_Data!$A$5:$A$500,A103,Widget_Data!$C$5:$C$500,Summary!$B$4,Widget_Data!$D$5:$D$500,"&gt;="&amp;Summary!$B$3,Widget_Data!$D$5:$D$500,"&lt;="&amp;Summary!$B$5))</f>
        <v/>
      </c>
      <c r="H103" s="3" t="str">
        <f aca="false">IF(A103="","",IF(AND(F103=1,G103&gt;0,ABS(E103-G103)&lt;0.005),"Matched",IF(AND(F103=1,G103&gt;0),"Amount differs",IF(AND(F103=1,J103=0),"Missing in widget",IF(AND(F103=1,K103&lt;&gt;Summary!$B$4),"In widget - not approved",IF(F103=1,"In widget - approved in other month",IF(G103&gt;0,"Counted by widget - cost dated other month","Out of month - not in widget")))))))</f>
        <v/>
      </c>
      <c r="I103" s="17" t="str">
        <f aca="false">IF(A103="","",F103*E103-G103)</f>
        <v/>
      </c>
      <c r="J103" s="3" t="str">
        <f aca="false">IF(A103="","",COUNTIF(Widget_Data!$A$5:$A$500,A103))</f>
        <v/>
      </c>
      <c r="K103" s="3" t="str">
        <f aca="false">IF(OR(A103="",J103=0),"",INDEX(Widget_Data!$C$5:$C$500,MATCH(A103,Widget_Data!$A$5:$A$500,0)))</f>
        <v/>
      </c>
    </row>
    <row r="104" customFormat="false" ht="15" hidden="false" customHeight="false" outlineLevel="0" collapsed="false">
      <c r="F104" s="3" t="str">
        <f aca="false">IF(A104="","",IF(AND(B104&gt;=Summary!$B$3,B104&lt;=Summary!$B$5),1,0))</f>
        <v/>
      </c>
      <c r="G104" s="17" t="str">
        <f aca="false">IF(A104="","",SUMIFS(Widget_Data!$E$5:$E$500,Widget_Data!$A$5:$A$500,A104,Widget_Data!$C$5:$C$500,Summary!$B$4,Widget_Data!$D$5:$D$500,"&gt;="&amp;Summary!$B$3,Widget_Data!$D$5:$D$500,"&lt;="&amp;Summary!$B$5))</f>
        <v/>
      </c>
      <c r="H104" s="3" t="str">
        <f aca="false">IF(A104="","",IF(AND(F104=1,G104&gt;0,ABS(E104-G104)&lt;0.005),"Matched",IF(AND(F104=1,G104&gt;0),"Amount differs",IF(AND(F104=1,J104=0),"Missing in widget",IF(AND(F104=1,K104&lt;&gt;Summary!$B$4),"In widget - not approved",IF(F104=1,"In widget - approved in other month",IF(G104&gt;0,"Counted by widget - cost dated other month","Out of month - not in widget")))))))</f>
        <v/>
      </c>
      <c r="I104" s="17" t="str">
        <f aca="false">IF(A104="","",F104*E104-G104)</f>
        <v/>
      </c>
      <c r="J104" s="3" t="str">
        <f aca="false">IF(A104="","",COUNTIF(Widget_Data!$A$5:$A$500,A104))</f>
        <v/>
      </c>
      <c r="K104" s="3" t="str">
        <f aca="false">IF(OR(A104="",J104=0),"",INDEX(Widget_Data!$C$5:$C$500,MATCH(A104,Widget_Data!$A$5:$A$500,0)))</f>
        <v/>
      </c>
    </row>
    <row r="105" customFormat="false" ht="15" hidden="false" customHeight="false" outlineLevel="0" collapsed="false">
      <c r="F105" s="3" t="str">
        <f aca="false">IF(A105="","",IF(AND(B105&gt;=Summary!$B$3,B105&lt;=Summary!$B$5),1,0))</f>
        <v/>
      </c>
      <c r="G105" s="17" t="str">
        <f aca="false">IF(A105="","",SUMIFS(Widget_Data!$E$5:$E$500,Widget_Data!$A$5:$A$500,A105,Widget_Data!$C$5:$C$500,Summary!$B$4,Widget_Data!$D$5:$D$500,"&gt;="&amp;Summary!$B$3,Widget_Data!$D$5:$D$500,"&lt;="&amp;Summary!$B$5))</f>
        <v/>
      </c>
      <c r="H105" s="3" t="str">
        <f aca="false">IF(A105="","",IF(AND(F105=1,G105&gt;0,ABS(E105-G105)&lt;0.005),"Matched",IF(AND(F105=1,G105&gt;0),"Amount differs",IF(AND(F105=1,J105=0),"Missing in widget",IF(AND(F105=1,K105&lt;&gt;Summary!$B$4),"In widget - not approved",IF(F105=1,"In widget - approved in other month",IF(G105&gt;0,"Counted by widget - cost dated other month","Out of month - not in widget")))))))</f>
        <v/>
      </c>
      <c r="I105" s="17" t="str">
        <f aca="false">IF(A105="","",F105*E105-G105)</f>
        <v/>
      </c>
      <c r="J105" s="3" t="str">
        <f aca="false">IF(A105="","",COUNTIF(Widget_Data!$A$5:$A$500,A105))</f>
        <v/>
      </c>
      <c r="K105" s="3" t="str">
        <f aca="false">IF(OR(A105="",J105=0),"",INDEX(Widget_Data!$C$5:$C$500,MATCH(A105,Widget_Data!$A$5:$A$500,0)))</f>
        <v/>
      </c>
    </row>
    <row r="106" customFormat="false" ht="15" hidden="false" customHeight="false" outlineLevel="0" collapsed="false">
      <c r="F106" s="3" t="str">
        <f aca="false">IF(A106="","",IF(AND(B106&gt;=Summary!$B$3,B106&lt;=Summary!$B$5),1,0))</f>
        <v/>
      </c>
      <c r="G106" s="17" t="str">
        <f aca="false">IF(A106="","",SUMIFS(Widget_Data!$E$5:$E$500,Widget_Data!$A$5:$A$500,A106,Widget_Data!$C$5:$C$500,Summary!$B$4,Widget_Data!$D$5:$D$500,"&gt;="&amp;Summary!$B$3,Widget_Data!$D$5:$D$500,"&lt;="&amp;Summary!$B$5))</f>
        <v/>
      </c>
      <c r="H106" s="3" t="str">
        <f aca="false">IF(A106="","",IF(AND(F106=1,G106&gt;0,ABS(E106-G106)&lt;0.005),"Matched",IF(AND(F106=1,G106&gt;0),"Amount differs",IF(AND(F106=1,J106=0),"Missing in widget",IF(AND(F106=1,K106&lt;&gt;Summary!$B$4),"In widget - not approved",IF(F106=1,"In widget - approved in other month",IF(G106&gt;0,"Counted by widget - cost dated other month","Out of month - not in widget")))))))</f>
        <v/>
      </c>
      <c r="I106" s="17" t="str">
        <f aca="false">IF(A106="","",F106*E106-G106)</f>
        <v/>
      </c>
      <c r="J106" s="3" t="str">
        <f aca="false">IF(A106="","",COUNTIF(Widget_Data!$A$5:$A$500,A106))</f>
        <v/>
      </c>
      <c r="K106" s="3" t="str">
        <f aca="false">IF(OR(A106="",J106=0),"",INDEX(Widget_Data!$C$5:$C$500,MATCH(A106,Widget_Data!$A$5:$A$500,0)))</f>
        <v/>
      </c>
    </row>
    <row r="107" customFormat="false" ht="15" hidden="false" customHeight="false" outlineLevel="0" collapsed="false">
      <c r="F107" s="3" t="str">
        <f aca="false">IF(A107="","",IF(AND(B107&gt;=Summary!$B$3,B107&lt;=Summary!$B$5),1,0))</f>
        <v/>
      </c>
      <c r="G107" s="17" t="str">
        <f aca="false">IF(A107="","",SUMIFS(Widget_Data!$E$5:$E$500,Widget_Data!$A$5:$A$500,A107,Widget_Data!$C$5:$C$500,Summary!$B$4,Widget_Data!$D$5:$D$500,"&gt;="&amp;Summary!$B$3,Widget_Data!$D$5:$D$500,"&lt;="&amp;Summary!$B$5))</f>
        <v/>
      </c>
      <c r="H107" s="3" t="str">
        <f aca="false">IF(A107="","",IF(AND(F107=1,G107&gt;0,ABS(E107-G107)&lt;0.005),"Matched",IF(AND(F107=1,G107&gt;0),"Amount differs",IF(AND(F107=1,J107=0),"Missing in widget",IF(AND(F107=1,K107&lt;&gt;Summary!$B$4),"In widget - not approved",IF(F107=1,"In widget - approved in other month",IF(G107&gt;0,"Counted by widget - cost dated other month","Out of month - not in widget")))))))</f>
        <v/>
      </c>
      <c r="I107" s="17" t="str">
        <f aca="false">IF(A107="","",F107*E107-G107)</f>
        <v/>
      </c>
      <c r="J107" s="3" t="str">
        <f aca="false">IF(A107="","",COUNTIF(Widget_Data!$A$5:$A$500,A107))</f>
        <v/>
      </c>
      <c r="K107" s="3" t="str">
        <f aca="false">IF(OR(A107="",J107=0),"",INDEX(Widget_Data!$C$5:$C$500,MATCH(A107,Widget_Data!$A$5:$A$500,0)))</f>
        <v/>
      </c>
    </row>
    <row r="108" customFormat="false" ht="15" hidden="false" customHeight="false" outlineLevel="0" collapsed="false">
      <c r="F108" s="3" t="str">
        <f aca="false">IF(A108="","",IF(AND(B108&gt;=Summary!$B$3,B108&lt;=Summary!$B$5),1,0))</f>
        <v/>
      </c>
      <c r="G108" s="17" t="str">
        <f aca="false">IF(A108="","",SUMIFS(Widget_Data!$E$5:$E$500,Widget_Data!$A$5:$A$500,A108,Widget_Data!$C$5:$C$500,Summary!$B$4,Widget_Data!$D$5:$D$500,"&gt;="&amp;Summary!$B$3,Widget_Data!$D$5:$D$500,"&lt;="&amp;Summary!$B$5))</f>
        <v/>
      </c>
      <c r="H108" s="3" t="str">
        <f aca="false">IF(A108="","",IF(AND(F108=1,G108&gt;0,ABS(E108-G108)&lt;0.005),"Matched",IF(AND(F108=1,G108&gt;0),"Amount differs",IF(AND(F108=1,J108=0),"Missing in widget",IF(AND(F108=1,K108&lt;&gt;Summary!$B$4),"In widget - not approved",IF(F108=1,"In widget - approved in other month",IF(G108&gt;0,"Counted by widget - cost dated other month","Out of month - not in widget")))))))</f>
        <v/>
      </c>
      <c r="I108" s="17" t="str">
        <f aca="false">IF(A108="","",F108*E108-G108)</f>
        <v/>
      </c>
      <c r="J108" s="3" t="str">
        <f aca="false">IF(A108="","",COUNTIF(Widget_Data!$A$5:$A$500,A108))</f>
        <v/>
      </c>
      <c r="K108" s="3" t="str">
        <f aca="false">IF(OR(A108="",J108=0),"",INDEX(Widget_Data!$C$5:$C$500,MATCH(A108,Widget_Data!$A$5:$A$500,0)))</f>
        <v/>
      </c>
    </row>
    <row r="109" customFormat="false" ht="15" hidden="false" customHeight="false" outlineLevel="0" collapsed="false">
      <c r="F109" s="3" t="str">
        <f aca="false">IF(A109="","",IF(AND(B109&gt;=Summary!$B$3,B109&lt;=Summary!$B$5),1,0))</f>
        <v/>
      </c>
      <c r="G109" s="17" t="str">
        <f aca="false">IF(A109="","",SUMIFS(Widget_Data!$E$5:$E$500,Widget_Data!$A$5:$A$500,A109,Widget_Data!$C$5:$C$500,Summary!$B$4,Widget_Data!$D$5:$D$500,"&gt;="&amp;Summary!$B$3,Widget_Data!$D$5:$D$500,"&lt;="&amp;Summary!$B$5))</f>
        <v/>
      </c>
      <c r="H109" s="3" t="str">
        <f aca="false">IF(A109="","",IF(AND(F109=1,G109&gt;0,ABS(E109-G109)&lt;0.005),"Matched",IF(AND(F109=1,G109&gt;0),"Amount differs",IF(AND(F109=1,J109=0),"Missing in widget",IF(AND(F109=1,K109&lt;&gt;Summary!$B$4),"In widget - not approved",IF(F109=1,"In widget - approved in other month",IF(G109&gt;0,"Counted by widget - cost dated other month","Out of month - not in widget")))))))</f>
        <v/>
      </c>
      <c r="I109" s="17" t="str">
        <f aca="false">IF(A109="","",F109*E109-G109)</f>
        <v/>
      </c>
      <c r="J109" s="3" t="str">
        <f aca="false">IF(A109="","",COUNTIF(Widget_Data!$A$5:$A$500,A109))</f>
        <v/>
      </c>
      <c r="K109" s="3" t="str">
        <f aca="false">IF(OR(A109="",J109=0),"",INDEX(Widget_Data!$C$5:$C$500,MATCH(A109,Widget_Data!$A$5:$A$500,0)))</f>
        <v/>
      </c>
    </row>
    <row r="110" customFormat="false" ht="15" hidden="false" customHeight="false" outlineLevel="0" collapsed="false">
      <c r="F110" s="3" t="str">
        <f aca="false">IF(A110="","",IF(AND(B110&gt;=Summary!$B$3,B110&lt;=Summary!$B$5),1,0))</f>
        <v/>
      </c>
      <c r="G110" s="17" t="str">
        <f aca="false">IF(A110="","",SUMIFS(Widget_Data!$E$5:$E$500,Widget_Data!$A$5:$A$500,A110,Widget_Data!$C$5:$C$500,Summary!$B$4,Widget_Data!$D$5:$D$500,"&gt;="&amp;Summary!$B$3,Widget_Data!$D$5:$D$500,"&lt;="&amp;Summary!$B$5))</f>
        <v/>
      </c>
      <c r="H110" s="3" t="str">
        <f aca="false">IF(A110="","",IF(AND(F110=1,G110&gt;0,ABS(E110-G110)&lt;0.005),"Matched",IF(AND(F110=1,G110&gt;0),"Amount differs",IF(AND(F110=1,J110=0),"Missing in widget",IF(AND(F110=1,K110&lt;&gt;Summary!$B$4),"In widget - not approved",IF(F110=1,"In widget - approved in other month",IF(G110&gt;0,"Counted by widget - cost dated other month","Out of month - not in widget")))))))</f>
        <v/>
      </c>
      <c r="I110" s="17" t="str">
        <f aca="false">IF(A110="","",F110*E110-G110)</f>
        <v/>
      </c>
      <c r="J110" s="3" t="str">
        <f aca="false">IF(A110="","",COUNTIF(Widget_Data!$A$5:$A$500,A110))</f>
        <v/>
      </c>
      <c r="K110" s="3" t="str">
        <f aca="false">IF(OR(A110="",J110=0),"",INDEX(Widget_Data!$C$5:$C$500,MATCH(A110,Widget_Data!$A$5:$A$500,0)))</f>
        <v/>
      </c>
    </row>
    <row r="111" customFormat="false" ht="15" hidden="false" customHeight="false" outlineLevel="0" collapsed="false">
      <c r="F111" s="3" t="str">
        <f aca="false">IF(A111="","",IF(AND(B111&gt;=Summary!$B$3,B111&lt;=Summary!$B$5),1,0))</f>
        <v/>
      </c>
      <c r="G111" s="17" t="str">
        <f aca="false">IF(A111="","",SUMIFS(Widget_Data!$E$5:$E$500,Widget_Data!$A$5:$A$500,A111,Widget_Data!$C$5:$C$500,Summary!$B$4,Widget_Data!$D$5:$D$500,"&gt;="&amp;Summary!$B$3,Widget_Data!$D$5:$D$500,"&lt;="&amp;Summary!$B$5))</f>
        <v/>
      </c>
      <c r="H111" s="3" t="str">
        <f aca="false">IF(A111="","",IF(AND(F111=1,G111&gt;0,ABS(E111-G111)&lt;0.005),"Matched",IF(AND(F111=1,G111&gt;0),"Amount differs",IF(AND(F111=1,J111=0),"Missing in widget",IF(AND(F111=1,K111&lt;&gt;Summary!$B$4),"In widget - not approved",IF(F111=1,"In widget - approved in other month",IF(G111&gt;0,"Counted by widget - cost dated other month","Out of month - not in widget")))))))</f>
        <v/>
      </c>
      <c r="I111" s="17" t="str">
        <f aca="false">IF(A111="","",F111*E111-G111)</f>
        <v/>
      </c>
      <c r="J111" s="3" t="str">
        <f aca="false">IF(A111="","",COUNTIF(Widget_Data!$A$5:$A$500,A111))</f>
        <v/>
      </c>
      <c r="K111" s="3" t="str">
        <f aca="false">IF(OR(A111="",J111=0),"",INDEX(Widget_Data!$C$5:$C$500,MATCH(A111,Widget_Data!$A$5:$A$500,0)))</f>
        <v/>
      </c>
    </row>
    <row r="112" customFormat="false" ht="15" hidden="false" customHeight="false" outlineLevel="0" collapsed="false">
      <c r="F112" s="3" t="str">
        <f aca="false">IF(A112="","",IF(AND(B112&gt;=Summary!$B$3,B112&lt;=Summary!$B$5),1,0))</f>
        <v/>
      </c>
      <c r="G112" s="17" t="str">
        <f aca="false">IF(A112="","",SUMIFS(Widget_Data!$E$5:$E$500,Widget_Data!$A$5:$A$500,A112,Widget_Data!$C$5:$C$500,Summary!$B$4,Widget_Data!$D$5:$D$500,"&gt;="&amp;Summary!$B$3,Widget_Data!$D$5:$D$500,"&lt;="&amp;Summary!$B$5))</f>
        <v/>
      </c>
      <c r="H112" s="3" t="str">
        <f aca="false">IF(A112="","",IF(AND(F112=1,G112&gt;0,ABS(E112-G112)&lt;0.005),"Matched",IF(AND(F112=1,G112&gt;0),"Amount differs",IF(AND(F112=1,J112=0),"Missing in widget",IF(AND(F112=1,K112&lt;&gt;Summary!$B$4),"In widget - not approved",IF(F112=1,"In widget - approved in other month",IF(G112&gt;0,"Counted by widget - cost dated other month","Out of month - not in widget")))))))</f>
        <v/>
      </c>
      <c r="I112" s="17" t="str">
        <f aca="false">IF(A112="","",F112*E112-G112)</f>
        <v/>
      </c>
      <c r="J112" s="3" t="str">
        <f aca="false">IF(A112="","",COUNTIF(Widget_Data!$A$5:$A$500,A112))</f>
        <v/>
      </c>
      <c r="K112" s="3" t="str">
        <f aca="false">IF(OR(A112="",J112=0),"",INDEX(Widget_Data!$C$5:$C$500,MATCH(A112,Widget_Data!$A$5:$A$500,0)))</f>
        <v/>
      </c>
    </row>
    <row r="113" customFormat="false" ht="15" hidden="false" customHeight="false" outlineLevel="0" collapsed="false">
      <c r="F113" s="3" t="str">
        <f aca="false">IF(A113="","",IF(AND(B113&gt;=Summary!$B$3,B113&lt;=Summary!$B$5),1,0))</f>
        <v/>
      </c>
      <c r="G113" s="17" t="str">
        <f aca="false">IF(A113="","",SUMIFS(Widget_Data!$E$5:$E$500,Widget_Data!$A$5:$A$500,A113,Widget_Data!$C$5:$C$500,Summary!$B$4,Widget_Data!$D$5:$D$500,"&gt;="&amp;Summary!$B$3,Widget_Data!$D$5:$D$500,"&lt;="&amp;Summary!$B$5))</f>
        <v/>
      </c>
      <c r="H113" s="3" t="str">
        <f aca="false">IF(A113="","",IF(AND(F113=1,G113&gt;0,ABS(E113-G113)&lt;0.005),"Matched",IF(AND(F113=1,G113&gt;0),"Amount differs",IF(AND(F113=1,J113=0),"Missing in widget",IF(AND(F113=1,K113&lt;&gt;Summary!$B$4),"In widget - not approved",IF(F113=1,"In widget - approved in other month",IF(G113&gt;0,"Counted by widget - cost dated other month","Out of month - not in widget")))))))</f>
        <v/>
      </c>
      <c r="I113" s="17" t="str">
        <f aca="false">IF(A113="","",F113*E113-G113)</f>
        <v/>
      </c>
      <c r="J113" s="3" t="str">
        <f aca="false">IF(A113="","",COUNTIF(Widget_Data!$A$5:$A$500,A113))</f>
        <v/>
      </c>
      <c r="K113" s="3" t="str">
        <f aca="false">IF(OR(A113="",J113=0),"",INDEX(Widget_Data!$C$5:$C$500,MATCH(A113,Widget_Data!$A$5:$A$500,0)))</f>
        <v/>
      </c>
    </row>
    <row r="114" customFormat="false" ht="15" hidden="false" customHeight="false" outlineLevel="0" collapsed="false">
      <c r="F114" s="3" t="str">
        <f aca="false">IF(A114="","",IF(AND(B114&gt;=Summary!$B$3,B114&lt;=Summary!$B$5),1,0))</f>
        <v/>
      </c>
      <c r="G114" s="17" t="str">
        <f aca="false">IF(A114="","",SUMIFS(Widget_Data!$E$5:$E$500,Widget_Data!$A$5:$A$500,A114,Widget_Data!$C$5:$C$500,Summary!$B$4,Widget_Data!$D$5:$D$500,"&gt;="&amp;Summary!$B$3,Widget_Data!$D$5:$D$500,"&lt;="&amp;Summary!$B$5))</f>
        <v/>
      </c>
      <c r="H114" s="3" t="str">
        <f aca="false">IF(A114="","",IF(AND(F114=1,G114&gt;0,ABS(E114-G114)&lt;0.005),"Matched",IF(AND(F114=1,G114&gt;0),"Amount differs",IF(AND(F114=1,J114=0),"Missing in widget",IF(AND(F114=1,K114&lt;&gt;Summary!$B$4),"In widget - not approved",IF(F114=1,"In widget - approved in other month",IF(G114&gt;0,"Counted by widget - cost dated other month","Out of month - not in widget")))))))</f>
        <v/>
      </c>
      <c r="I114" s="17" t="str">
        <f aca="false">IF(A114="","",F114*E114-G114)</f>
        <v/>
      </c>
      <c r="J114" s="3" t="str">
        <f aca="false">IF(A114="","",COUNTIF(Widget_Data!$A$5:$A$500,A114))</f>
        <v/>
      </c>
      <c r="K114" s="3" t="str">
        <f aca="false">IF(OR(A114="",J114=0),"",INDEX(Widget_Data!$C$5:$C$500,MATCH(A114,Widget_Data!$A$5:$A$500,0)))</f>
        <v/>
      </c>
    </row>
    <row r="115" customFormat="false" ht="15" hidden="false" customHeight="false" outlineLevel="0" collapsed="false">
      <c r="F115" s="3" t="str">
        <f aca="false">IF(A115="","",IF(AND(B115&gt;=Summary!$B$3,B115&lt;=Summary!$B$5),1,0))</f>
        <v/>
      </c>
      <c r="G115" s="17" t="str">
        <f aca="false">IF(A115="","",SUMIFS(Widget_Data!$E$5:$E$500,Widget_Data!$A$5:$A$500,A115,Widget_Data!$C$5:$C$500,Summary!$B$4,Widget_Data!$D$5:$D$500,"&gt;="&amp;Summary!$B$3,Widget_Data!$D$5:$D$500,"&lt;="&amp;Summary!$B$5))</f>
        <v/>
      </c>
      <c r="H115" s="3" t="str">
        <f aca="false">IF(A115="","",IF(AND(F115=1,G115&gt;0,ABS(E115-G115)&lt;0.005),"Matched",IF(AND(F115=1,G115&gt;0),"Amount differs",IF(AND(F115=1,J115=0),"Missing in widget",IF(AND(F115=1,K115&lt;&gt;Summary!$B$4),"In widget - not approved",IF(F115=1,"In widget - approved in other month",IF(G115&gt;0,"Counted by widget - cost dated other month","Out of month - not in widget")))))))</f>
        <v/>
      </c>
      <c r="I115" s="17" t="str">
        <f aca="false">IF(A115="","",F115*E115-G115)</f>
        <v/>
      </c>
      <c r="J115" s="3" t="str">
        <f aca="false">IF(A115="","",COUNTIF(Widget_Data!$A$5:$A$500,A115))</f>
        <v/>
      </c>
      <c r="K115" s="3" t="str">
        <f aca="false">IF(OR(A115="",J115=0),"",INDEX(Widget_Data!$C$5:$C$500,MATCH(A115,Widget_Data!$A$5:$A$500,0)))</f>
        <v/>
      </c>
    </row>
    <row r="116" customFormat="false" ht="15" hidden="false" customHeight="false" outlineLevel="0" collapsed="false">
      <c r="F116" s="3" t="str">
        <f aca="false">IF(A116="","",IF(AND(B116&gt;=Summary!$B$3,B116&lt;=Summary!$B$5),1,0))</f>
        <v/>
      </c>
      <c r="G116" s="17" t="str">
        <f aca="false">IF(A116="","",SUMIFS(Widget_Data!$E$5:$E$500,Widget_Data!$A$5:$A$500,A116,Widget_Data!$C$5:$C$500,Summary!$B$4,Widget_Data!$D$5:$D$500,"&gt;="&amp;Summary!$B$3,Widget_Data!$D$5:$D$500,"&lt;="&amp;Summary!$B$5))</f>
        <v/>
      </c>
      <c r="H116" s="3" t="str">
        <f aca="false">IF(A116="","",IF(AND(F116=1,G116&gt;0,ABS(E116-G116)&lt;0.005),"Matched",IF(AND(F116=1,G116&gt;0),"Amount differs",IF(AND(F116=1,J116=0),"Missing in widget",IF(AND(F116=1,K116&lt;&gt;Summary!$B$4),"In widget - not approved",IF(F116=1,"In widget - approved in other month",IF(G116&gt;0,"Counted by widget - cost dated other month","Out of month - not in widget")))))))</f>
        <v/>
      </c>
      <c r="I116" s="17" t="str">
        <f aca="false">IF(A116="","",F116*E116-G116)</f>
        <v/>
      </c>
      <c r="J116" s="3" t="str">
        <f aca="false">IF(A116="","",COUNTIF(Widget_Data!$A$5:$A$500,A116))</f>
        <v/>
      </c>
      <c r="K116" s="3" t="str">
        <f aca="false">IF(OR(A116="",J116=0),"",INDEX(Widget_Data!$C$5:$C$500,MATCH(A116,Widget_Data!$A$5:$A$500,0)))</f>
        <v/>
      </c>
    </row>
    <row r="117" customFormat="false" ht="15" hidden="false" customHeight="false" outlineLevel="0" collapsed="false">
      <c r="F117" s="3" t="str">
        <f aca="false">IF(A117="","",IF(AND(B117&gt;=Summary!$B$3,B117&lt;=Summary!$B$5),1,0))</f>
        <v/>
      </c>
      <c r="G117" s="17" t="str">
        <f aca="false">IF(A117="","",SUMIFS(Widget_Data!$E$5:$E$500,Widget_Data!$A$5:$A$500,A117,Widget_Data!$C$5:$C$500,Summary!$B$4,Widget_Data!$D$5:$D$500,"&gt;="&amp;Summary!$B$3,Widget_Data!$D$5:$D$500,"&lt;="&amp;Summary!$B$5))</f>
        <v/>
      </c>
      <c r="H117" s="3" t="str">
        <f aca="false">IF(A117="","",IF(AND(F117=1,G117&gt;0,ABS(E117-G117)&lt;0.005),"Matched",IF(AND(F117=1,G117&gt;0),"Amount differs",IF(AND(F117=1,J117=0),"Missing in widget",IF(AND(F117=1,K117&lt;&gt;Summary!$B$4),"In widget - not approved",IF(F117=1,"In widget - approved in other month",IF(G117&gt;0,"Counted by widget - cost dated other month","Out of month - not in widget")))))))</f>
        <v/>
      </c>
      <c r="I117" s="17" t="str">
        <f aca="false">IF(A117="","",F117*E117-G117)</f>
        <v/>
      </c>
      <c r="J117" s="3" t="str">
        <f aca="false">IF(A117="","",COUNTIF(Widget_Data!$A$5:$A$500,A117))</f>
        <v/>
      </c>
      <c r="K117" s="3" t="str">
        <f aca="false">IF(OR(A117="",J117=0),"",INDEX(Widget_Data!$C$5:$C$500,MATCH(A117,Widget_Data!$A$5:$A$500,0)))</f>
        <v/>
      </c>
    </row>
    <row r="118" customFormat="false" ht="15" hidden="false" customHeight="false" outlineLevel="0" collapsed="false">
      <c r="F118" s="3" t="str">
        <f aca="false">IF(A118="","",IF(AND(B118&gt;=Summary!$B$3,B118&lt;=Summary!$B$5),1,0))</f>
        <v/>
      </c>
      <c r="G118" s="17" t="str">
        <f aca="false">IF(A118="","",SUMIFS(Widget_Data!$E$5:$E$500,Widget_Data!$A$5:$A$500,A118,Widget_Data!$C$5:$C$500,Summary!$B$4,Widget_Data!$D$5:$D$500,"&gt;="&amp;Summary!$B$3,Widget_Data!$D$5:$D$500,"&lt;="&amp;Summary!$B$5))</f>
        <v/>
      </c>
      <c r="H118" s="3" t="str">
        <f aca="false">IF(A118="","",IF(AND(F118=1,G118&gt;0,ABS(E118-G118)&lt;0.005),"Matched",IF(AND(F118=1,G118&gt;0),"Amount differs",IF(AND(F118=1,J118=0),"Missing in widget",IF(AND(F118=1,K118&lt;&gt;Summary!$B$4),"In widget - not approved",IF(F118=1,"In widget - approved in other month",IF(G118&gt;0,"Counted by widget - cost dated other month","Out of month - not in widget")))))))</f>
        <v/>
      </c>
      <c r="I118" s="17" t="str">
        <f aca="false">IF(A118="","",F118*E118-G118)</f>
        <v/>
      </c>
      <c r="J118" s="3" t="str">
        <f aca="false">IF(A118="","",COUNTIF(Widget_Data!$A$5:$A$500,A118))</f>
        <v/>
      </c>
      <c r="K118" s="3" t="str">
        <f aca="false">IF(OR(A118="",J118=0),"",INDEX(Widget_Data!$C$5:$C$500,MATCH(A118,Widget_Data!$A$5:$A$500,0)))</f>
        <v/>
      </c>
    </row>
    <row r="119" customFormat="false" ht="15" hidden="false" customHeight="false" outlineLevel="0" collapsed="false">
      <c r="F119" s="3" t="str">
        <f aca="false">IF(A119="","",IF(AND(B119&gt;=Summary!$B$3,B119&lt;=Summary!$B$5),1,0))</f>
        <v/>
      </c>
      <c r="G119" s="17" t="str">
        <f aca="false">IF(A119="","",SUMIFS(Widget_Data!$E$5:$E$500,Widget_Data!$A$5:$A$500,A119,Widget_Data!$C$5:$C$500,Summary!$B$4,Widget_Data!$D$5:$D$500,"&gt;="&amp;Summary!$B$3,Widget_Data!$D$5:$D$500,"&lt;="&amp;Summary!$B$5))</f>
        <v/>
      </c>
      <c r="H119" s="3" t="str">
        <f aca="false">IF(A119="","",IF(AND(F119=1,G119&gt;0,ABS(E119-G119)&lt;0.005),"Matched",IF(AND(F119=1,G119&gt;0),"Amount differs",IF(AND(F119=1,J119=0),"Missing in widget",IF(AND(F119=1,K119&lt;&gt;Summary!$B$4),"In widget - not approved",IF(F119=1,"In widget - approved in other month",IF(G119&gt;0,"Counted by widget - cost dated other month","Out of month - not in widget")))))))</f>
        <v/>
      </c>
      <c r="I119" s="17" t="str">
        <f aca="false">IF(A119="","",F119*E119-G119)</f>
        <v/>
      </c>
      <c r="J119" s="3" t="str">
        <f aca="false">IF(A119="","",COUNTIF(Widget_Data!$A$5:$A$500,A119))</f>
        <v/>
      </c>
      <c r="K119" s="3" t="str">
        <f aca="false">IF(OR(A119="",J119=0),"",INDEX(Widget_Data!$C$5:$C$500,MATCH(A119,Widget_Data!$A$5:$A$500,0)))</f>
        <v/>
      </c>
    </row>
    <row r="120" customFormat="false" ht="15" hidden="false" customHeight="false" outlineLevel="0" collapsed="false">
      <c r="F120" s="3" t="str">
        <f aca="false">IF(A120="","",IF(AND(B120&gt;=Summary!$B$3,B120&lt;=Summary!$B$5),1,0))</f>
        <v/>
      </c>
      <c r="G120" s="17" t="str">
        <f aca="false">IF(A120="","",SUMIFS(Widget_Data!$E$5:$E$500,Widget_Data!$A$5:$A$500,A120,Widget_Data!$C$5:$C$500,Summary!$B$4,Widget_Data!$D$5:$D$500,"&gt;="&amp;Summary!$B$3,Widget_Data!$D$5:$D$500,"&lt;="&amp;Summary!$B$5))</f>
        <v/>
      </c>
      <c r="H120" s="3" t="str">
        <f aca="false">IF(A120="","",IF(AND(F120=1,G120&gt;0,ABS(E120-G120)&lt;0.005),"Matched",IF(AND(F120=1,G120&gt;0),"Amount differs",IF(AND(F120=1,J120=0),"Missing in widget",IF(AND(F120=1,K120&lt;&gt;Summary!$B$4),"In widget - not approved",IF(F120=1,"In widget - approved in other month",IF(G120&gt;0,"Counted by widget - cost dated other month","Out of month - not in widget")))))))</f>
        <v/>
      </c>
      <c r="I120" s="17" t="str">
        <f aca="false">IF(A120="","",F120*E120-G120)</f>
        <v/>
      </c>
      <c r="J120" s="3" t="str">
        <f aca="false">IF(A120="","",COUNTIF(Widget_Data!$A$5:$A$500,A120))</f>
        <v/>
      </c>
      <c r="K120" s="3" t="str">
        <f aca="false">IF(OR(A120="",J120=0),"",INDEX(Widget_Data!$C$5:$C$500,MATCH(A120,Widget_Data!$A$5:$A$500,0)))</f>
        <v/>
      </c>
    </row>
    <row r="121" customFormat="false" ht="15" hidden="false" customHeight="false" outlineLevel="0" collapsed="false">
      <c r="F121" s="3" t="str">
        <f aca="false">IF(A121="","",IF(AND(B121&gt;=Summary!$B$3,B121&lt;=Summary!$B$5),1,0))</f>
        <v/>
      </c>
      <c r="G121" s="17" t="str">
        <f aca="false">IF(A121="","",SUMIFS(Widget_Data!$E$5:$E$500,Widget_Data!$A$5:$A$500,A121,Widget_Data!$C$5:$C$500,Summary!$B$4,Widget_Data!$D$5:$D$500,"&gt;="&amp;Summary!$B$3,Widget_Data!$D$5:$D$500,"&lt;="&amp;Summary!$B$5))</f>
        <v/>
      </c>
      <c r="H121" s="3" t="str">
        <f aca="false">IF(A121="","",IF(AND(F121=1,G121&gt;0,ABS(E121-G121)&lt;0.005),"Matched",IF(AND(F121=1,G121&gt;0),"Amount differs",IF(AND(F121=1,J121=0),"Missing in widget",IF(AND(F121=1,K121&lt;&gt;Summary!$B$4),"In widget - not approved",IF(F121=1,"In widget - approved in other month",IF(G121&gt;0,"Counted by widget - cost dated other month","Out of month - not in widget")))))))</f>
        <v/>
      </c>
      <c r="I121" s="17" t="str">
        <f aca="false">IF(A121="","",F121*E121-G121)</f>
        <v/>
      </c>
      <c r="J121" s="3" t="str">
        <f aca="false">IF(A121="","",COUNTIF(Widget_Data!$A$5:$A$500,A121))</f>
        <v/>
      </c>
      <c r="K121" s="3" t="str">
        <f aca="false">IF(OR(A121="",J121=0),"",INDEX(Widget_Data!$C$5:$C$500,MATCH(A121,Widget_Data!$A$5:$A$500,0)))</f>
        <v/>
      </c>
    </row>
    <row r="122" customFormat="false" ht="15" hidden="false" customHeight="false" outlineLevel="0" collapsed="false">
      <c r="F122" s="3" t="str">
        <f aca="false">IF(A122="","",IF(AND(B122&gt;=Summary!$B$3,B122&lt;=Summary!$B$5),1,0))</f>
        <v/>
      </c>
      <c r="G122" s="17" t="str">
        <f aca="false">IF(A122="","",SUMIFS(Widget_Data!$E$5:$E$500,Widget_Data!$A$5:$A$500,A122,Widget_Data!$C$5:$C$500,Summary!$B$4,Widget_Data!$D$5:$D$500,"&gt;="&amp;Summary!$B$3,Widget_Data!$D$5:$D$500,"&lt;="&amp;Summary!$B$5))</f>
        <v/>
      </c>
      <c r="H122" s="3" t="str">
        <f aca="false">IF(A122="","",IF(AND(F122=1,G122&gt;0,ABS(E122-G122)&lt;0.005),"Matched",IF(AND(F122=1,G122&gt;0),"Amount differs",IF(AND(F122=1,J122=0),"Missing in widget",IF(AND(F122=1,K122&lt;&gt;Summary!$B$4),"In widget - not approved",IF(F122=1,"In widget - approved in other month",IF(G122&gt;0,"Counted by widget - cost dated other month","Out of month - not in widget")))))))</f>
        <v/>
      </c>
      <c r="I122" s="17" t="str">
        <f aca="false">IF(A122="","",F122*E122-G122)</f>
        <v/>
      </c>
      <c r="J122" s="3" t="str">
        <f aca="false">IF(A122="","",COUNTIF(Widget_Data!$A$5:$A$500,A122))</f>
        <v/>
      </c>
      <c r="K122" s="3" t="str">
        <f aca="false">IF(OR(A122="",J122=0),"",INDEX(Widget_Data!$C$5:$C$500,MATCH(A122,Widget_Data!$A$5:$A$500,0)))</f>
        <v/>
      </c>
    </row>
    <row r="123" customFormat="false" ht="15" hidden="false" customHeight="false" outlineLevel="0" collapsed="false">
      <c r="F123" s="3" t="str">
        <f aca="false">IF(A123="","",IF(AND(B123&gt;=Summary!$B$3,B123&lt;=Summary!$B$5),1,0))</f>
        <v/>
      </c>
      <c r="G123" s="17" t="str">
        <f aca="false">IF(A123="","",SUMIFS(Widget_Data!$E$5:$E$500,Widget_Data!$A$5:$A$500,A123,Widget_Data!$C$5:$C$500,Summary!$B$4,Widget_Data!$D$5:$D$500,"&gt;="&amp;Summary!$B$3,Widget_Data!$D$5:$D$500,"&lt;="&amp;Summary!$B$5))</f>
        <v/>
      </c>
      <c r="H123" s="3" t="str">
        <f aca="false">IF(A123="","",IF(AND(F123=1,G123&gt;0,ABS(E123-G123)&lt;0.005),"Matched",IF(AND(F123=1,G123&gt;0),"Amount differs",IF(AND(F123=1,J123=0),"Missing in widget",IF(AND(F123=1,K123&lt;&gt;Summary!$B$4),"In widget - not approved",IF(F123=1,"In widget - approved in other month",IF(G123&gt;0,"Counted by widget - cost dated other month","Out of month - not in widget")))))))</f>
        <v/>
      </c>
      <c r="I123" s="17" t="str">
        <f aca="false">IF(A123="","",F123*E123-G123)</f>
        <v/>
      </c>
      <c r="J123" s="3" t="str">
        <f aca="false">IF(A123="","",COUNTIF(Widget_Data!$A$5:$A$500,A123))</f>
        <v/>
      </c>
      <c r="K123" s="3" t="str">
        <f aca="false">IF(OR(A123="",J123=0),"",INDEX(Widget_Data!$C$5:$C$500,MATCH(A123,Widget_Data!$A$5:$A$500,0)))</f>
        <v/>
      </c>
    </row>
    <row r="124" customFormat="false" ht="15" hidden="false" customHeight="false" outlineLevel="0" collapsed="false">
      <c r="F124" s="3" t="str">
        <f aca="false">IF(A124="","",IF(AND(B124&gt;=Summary!$B$3,B124&lt;=Summary!$B$5),1,0))</f>
        <v/>
      </c>
      <c r="G124" s="17" t="str">
        <f aca="false">IF(A124="","",SUMIFS(Widget_Data!$E$5:$E$500,Widget_Data!$A$5:$A$500,A124,Widget_Data!$C$5:$C$500,Summary!$B$4,Widget_Data!$D$5:$D$500,"&gt;="&amp;Summary!$B$3,Widget_Data!$D$5:$D$500,"&lt;="&amp;Summary!$B$5))</f>
        <v/>
      </c>
      <c r="H124" s="3" t="str">
        <f aca="false">IF(A124="","",IF(AND(F124=1,G124&gt;0,ABS(E124-G124)&lt;0.005),"Matched",IF(AND(F124=1,G124&gt;0),"Amount differs",IF(AND(F124=1,J124=0),"Missing in widget",IF(AND(F124=1,K124&lt;&gt;Summary!$B$4),"In widget - not approved",IF(F124=1,"In widget - approved in other month",IF(G124&gt;0,"Counted by widget - cost dated other month","Out of month - not in widget")))))))</f>
        <v/>
      </c>
      <c r="I124" s="17" t="str">
        <f aca="false">IF(A124="","",F124*E124-G124)</f>
        <v/>
      </c>
      <c r="J124" s="3" t="str">
        <f aca="false">IF(A124="","",COUNTIF(Widget_Data!$A$5:$A$500,A124))</f>
        <v/>
      </c>
      <c r="K124" s="3" t="str">
        <f aca="false">IF(OR(A124="",J124=0),"",INDEX(Widget_Data!$C$5:$C$500,MATCH(A124,Widget_Data!$A$5:$A$500,0)))</f>
        <v/>
      </c>
    </row>
    <row r="125" customFormat="false" ht="15" hidden="false" customHeight="false" outlineLevel="0" collapsed="false">
      <c r="F125" s="3" t="str">
        <f aca="false">IF(A125="","",IF(AND(B125&gt;=Summary!$B$3,B125&lt;=Summary!$B$5),1,0))</f>
        <v/>
      </c>
      <c r="G125" s="17" t="str">
        <f aca="false">IF(A125="","",SUMIFS(Widget_Data!$E$5:$E$500,Widget_Data!$A$5:$A$500,A125,Widget_Data!$C$5:$C$500,Summary!$B$4,Widget_Data!$D$5:$D$500,"&gt;="&amp;Summary!$B$3,Widget_Data!$D$5:$D$500,"&lt;="&amp;Summary!$B$5))</f>
        <v/>
      </c>
      <c r="H125" s="3" t="str">
        <f aca="false">IF(A125="","",IF(AND(F125=1,G125&gt;0,ABS(E125-G125)&lt;0.005),"Matched",IF(AND(F125=1,G125&gt;0),"Amount differs",IF(AND(F125=1,J125=0),"Missing in widget",IF(AND(F125=1,K125&lt;&gt;Summary!$B$4),"In widget - not approved",IF(F125=1,"In widget - approved in other month",IF(G125&gt;0,"Counted by widget - cost dated other month","Out of month - not in widget")))))))</f>
        <v/>
      </c>
      <c r="I125" s="17" t="str">
        <f aca="false">IF(A125="","",F125*E125-G125)</f>
        <v/>
      </c>
      <c r="J125" s="3" t="str">
        <f aca="false">IF(A125="","",COUNTIF(Widget_Data!$A$5:$A$500,A125))</f>
        <v/>
      </c>
      <c r="K125" s="3" t="str">
        <f aca="false">IF(OR(A125="",J125=0),"",INDEX(Widget_Data!$C$5:$C$500,MATCH(A125,Widget_Data!$A$5:$A$500,0)))</f>
        <v/>
      </c>
    </row>
    <row r="126" customFormat="false" ht="15" hidden="false" customHeight="false" outlineLevel="0" collapsed="false">
      <c r="F126" s="3" t="str">
        <f aca="false">IF(A126="","",IF(AND(B126&gt;=Summary!$B$3,B126&lt;=Summary!$B$5),1,0))</f>
        <v/>
      </c>
      <c r="G126" s="17" t="str">
        <f aca="false">IF(A126="","",SUMIFS(Widget_Data!$E$5:$E$500,Widget_Data!$A$5:$A$500,A126,Widget_Data!$C$5:$C$500,Summary!$B$4,Widget_Data!$D$5:$D$500,"&gt;="&amp;Summary!$B$3,Widget_Data!$D$5:$D$500,"&lt;="&amp;Summary!$B$5))</f>
        <v/>
      </c>
      <c r="H126" s="3" t="str">
        <f aca="false">IF(A126="","",IF(AND(F126=1,G126&gt;0,ABS(E126-G126)&lt;0.005),"Matched",IF(AND(F126=1,G126&gt;0),"Amount differs",IF(AND(F126=1,J126=0),"Missing in widget",IF(AND(F126=1,K126&lt;&gt;Summary!$B$4),"In widget - not approved",IF(F126=1,"In widget - approved in other month",IF(G126&gt;0,"Counted by widget - cost dated other month","Out of month - not in widget")))))))</f>
        <v/>
      </c>
      <c r="I126" s="17" t="str">
        <f aca="false">IF(A126="","",F126*E126-G126)</f>
        <v/>
      </c>
      <c r="J126" s="3" t="str">
        <f aca="false">IF(A126="","",COUNTIF(Widget_Data!$A$5:$A$500,A126))</f>
        <v/>
      </c>
      <c r="K126" s="3" t="str">
        <f aca="false">IF(OR(A126="",J126=0),"",INDEX(Widget_Data!$C$5:$C$500,MATCH(A126,Widget_Data!$A$5:$A$500,0)))</f>
        <v/>
      </c>
    </row>
    <row r="127" customFormat="false" ht="15" hidden="false" customHeight="false" outlineLevel="0" collapsed="false">
      <c r="F127" s="3" t="str">
        <f aca="false">IF(A127="","",IF(AND(B127&gt;=Summary!$B$3,B127&lt;=Summary!$B$5),1,0))</f>
        <v/>
      </c>
      <c r="G127" s="17" t="str">
        <f aca="false">IF(A127="","",SUMIFS(Widget_Data!$E$5:$E$500,Widget_Data!$A$5:$A$500,A127,Widget_Data!$C$5:$C$500,Summary!$B$4,Widget_Data!$D$5:$D$500,"&gt;="&amp;Summary!$B$3,Widget_Data!$D$5:$D$500,"&lt;="&amp;Summary!$B$5))</f>
        <v/>
      </c>
      <c r="H127" s="3" t="str">
        <f aca="false">IF(A127="","",IF(AND(F127=1,G127&gt;0,ABS(E127-G127)&lt;0.005),"Matched",IF(AND(F127=1,G127&gt;0),"Amount differs",IF(AND(F127=1,J127=0),"Missing in widget",IF(AND(F127=1,K127&lt;&gt;Summary!$B$4),"In widget - not approved",IF(F127=1,"In widget - approved in other month",IF(G127&gt;0,"Counted by widget - cost dated other month","Out of month - not in widget")))))))</f>
        <v/>
      </c>
      <c r="I127" s="17" t="str">
        <f aca="false">IF(A127="","",F127*E127-G127)</f>
        <v/>
      </c>
      <c r="J127" s="3" t="str">
        <f aca="false">IF(A127="","",COUNTIF(Widget_Data!$A$5:$A$500,A127))</f>
        <v/>
      </c>
      <c r="K127" s="3" t="str">
        <f aca="false">IF(OR(A127="",J127=0),"",INDEX(Widget_Data!$C$5:$C$500,MATCH(A127,Widget_Data!$A$5:$A$500,0)))</f>
        <v/>
      </c>
    </row>
    <row r="128" customFormat="false" ht="15" hidden="false" customHeight="false" outlineLevel="0" collapsed="false">
      <c r="F128" s="3" t="str">
        <f aca="false">IF(A128="","",IF(AND(B128&gt;=Summary!$B$3,B128&lt;=Summary!$B$5),1,0))</f>
        <v/>
      </c>
      <c r="G128" s="17" t="str">
        <f aca="false">IF(A128="","",SUMIFS(Widget_Data!$E$5:$E$500,Widget_Data!$A$5:$A$500,A128,Widget_Data!$C$5:$C$500,Summary!$B$4,Widget_Data!$D$5:$D$500,"&gt;="&amp;Summary!$B$3,Widget_Data!$D$5:$D$500,"&lt;="&amp;Summary!$B$5))</f>
        <v/>
      </c>
      <c r="H128" s="3" t="str">
        <f aca="false">IF(A128="","",IF(AND(F128=1,G128&gt;0,ABS(E128-G128)&lt;0.005),"Matched",IF(AND(F128=1,G128&gt;0),"Amount differs",IF(AND(F128=1,J128=0),"Missing in widget",IF(AND(F128=1,K128&lt;&gt;Summary!$B$4),"In widget - not approved",IF(F128=1,"In widget - approved in other month",IF(G128&gt;0,"Counted by widget - cost dated other month","Out of month - not in widget")))))))</f>
        <v/>
      </c>
      <c r="I128" s="17" t="str">
        <f aca="false">IF(A128="","",F128*E128-G128)</f>
        <v/>
      </c>
      <c r="J128" s="3" t="str">
        <f aca="false">IF(A128="","",COUNTIF(Widget_Data!$A$5:$A$500,A128))</f>
        <v/>
      </c>
      <c r="K128" s="3" t="str">
        <f aca="false">IF(OR(A128="",J128=0),"",INDEX(Widget_Data!$C$5:$C$500,MATCH(A128,Widget_Data!$A$5:$A$500,0)))</f>
        <v/>
      </c>
    </row>
    <row r="129" customFormat="false" ht="15" hidden="false" customHeight="false" outlineLevel="0" collapsed="false">
      <c r="F129" s="3" t="str">
        <f aca="false">IF(A129="","",IF(AND(B129&gt;=Summary!$B$3,B129&lt;=Summary!$B$5),1,0))</f>
        <v/>
      </c>
      <c r="G129" s="17" t="str">
        <f aca="false">IF(A129="","",SUMIFS(Widget_Data!$E$5:$E$500,Widget_Data!$A$5:$A$500,A129,Widget_Data!$C$5:$C$500,Summary!$B$4,Widget_Data!$D$5:$D$500,"&gt;="&amp;Summary!$B$3,Widget_Data!$D$5:$D$500,"&lt;="&amp;Summary!$B$5))</f>
        <v/>
      </c>
      <c r="H129" s="3" t="str">
        <f aca="false">IF(A129="","",IF(AND(F129=1,G129&gt;0,ABS(E129-G129)&lt;0.005),"Matched",IF(AND(F129=1,G129&gt;0),"Amount differs",IF(AND(F129=1,J129=0),"Missing in widget",IF(AND(F129=1,K129&lt;&gt;Summary!$B$4),"In widget - not approved",IF(F129=1,"In widget - approved in other month",IF(G129&gt;0,"Counted by widget - cost dated other month","Out of month - not in widget")))))))</f>
        <v/>
      </c>
      <c r="I129" s="17" t="str">
        <f aca="false">IF(A129="","",F129*E129-G129)</f>
        <v/>
      </c>
      <c r="J129" s="3" t="str">
        <f aca="false">IF(A129="","",COUNTIF(Widget_Data!$A$5:$A$500,A129))</f>
        <v/>
      </c>
      <c r="K129" s="3" t="str">
        <f aca="false">IF(OR(A129="",J129=0),"",INDEX(Widget_Data!$C$5:$C$500,MATCH(A129,Widget_Data!$A$5:$A$500,0)))</f>
        <v/>
      </c>
    </row>
    <row r="130" customFormat="false" ht="15" hidden="false" customHeight="false" outlineLevel="0" collapsed="false">
      <c r="F130" s="3" t="str">
        <f aca="false">IF(A130="","",IF(AND(B130&gt;=Summary!$B$3,B130&lt;=Summary!$B$5),1,0))</f>
        <v/>
      </c>
      <c r="G130" s="17" t="str">
        <f aca="false">IF(A130="","",SUMIFS(Widget_Data!$E$5:$E$500,Widget_Data!$A$5:$A$500,A130,Widget_Data!$C$5:$C$500,Summary!$B$4,Widget_Data!$D$5:$D$500,"&gt;="&amp;Summary!$B$3,Widget_Data!$D$5:$D$500,"&lt;="&amp;Summary!$B$5))</f>
        <v/>
      </c>
      <c r="H130" s="3" t="str">
        <f aca="false">IF(A130="","",IF(AND(F130=1,G130&gt;0,ABS(E130-G130)&lt;0.005),"Matched",IF(AND(F130=1,G130&gt;0),"Amount differs",IF(AND(F130=1,J130=0),"Missing in widget",IF(AND(F130=1,K130&lt;&gt;Summary!$B$4),"In widget - not approved",IF(F130=1,"In widget - approved in other month",IF(G130&gt;0,"Counted by widget - cost dated other month","Out of month - not in widget")))))))</f>
        <v/>
      </c>
      <c r="I130" s="17" t="str">
        <f aca="false">IF(A130="","",F130*E130-G130)</f>
        <v/>
      </c>
      <c r="J130" s="3" t="str">
        <f aca="false">IF(A130="","",COUNTIF(Widget_Data!$A$5:$A$500,A130))</f>
        <v/>
      </c>
      <c r="K130" s="3" t="str">
        <f aca="false">IF(OR(A130="",J130=0),"",INDEX(Widget_Data!$C$5:$C$500,MATCH(A130,Widget_Data!$A$5:$A$500,0)))</f>
        <v/>
      </c>
    </row>
    <row r="131" customFormat="false" ht="15" hidden="false" customHeight="false" outlineLevel="0" collapsed="false">
      <c r="F131" s="3" t="str">
        <f aca="false">IF(A131="","",IF(AND(B131&gt;=Summary!$B$3,B131&lt;=Summary!$B$5),1,0))</f>
        <v/>
      </c>
      <c r="G131" s="17" t="str">
        <f aca="false">IF(A131="","",SUMIFS(Widget_Data!$E$5:$E$500,Widget_Data!$A$5:$A$500,A131,Widget_Data!$C$5:$C$500,Summary!$B$4,Widget_Data!$D$5:$D$500,"&gt;="&amp;Summary!$B$3,Widget_Data!$D$5:$D$500,"&lt;="&amp;Summary!$B$5))</f>
        <v/>
      </c>
      <c r="H131" s="3" t="str">
        <f aca="false">IF(A131="","",IF(AND(F131=1,G131&gt;0,ABS(E131-G131)&lt;0.005),"Matched",IF(AND(F131=1,G131&gt;0),"Amount differs",IF(AND(F131=1,J131=0),"Missing in widget",IF(AND(F131=1,K131&lt;&gt;Summary!$B$4),"In widget - not approved",IF(F131=1,"In widget - approved in other month",IF(G131&gt;0,"Counted by widget - cost dated other month","Out of month - not in widget")))))))</f>
        <v/>
      </c>
      <c r="I131" s="17" t="str">
        <f aca="false">IF(A131="","",F131*E131-G131)</f>
        <v/>
      </c>
      <c r="J131" s="3" t="str">
        <f aca="false">IF(A131="","",COUNTIF(Widget_Data!$A$5:$A$500,A131))</f>
        <v/>
      </c>
      <c r="K131" s="3" t="str">
        <f aca="false">IF(OR(A131="",J131=0),"",INDEX(Widget_Data!$C$5:$C$500,MATCH(A131,Widget_Data!$A$5:$A$500,0)))</f>
        <v/>
      </c>
    </row>
    <row r="132" customFormat="false" ht="15" hidden="false" customHeight="false" outlineLevel="0" collapsed="false">
      <c r="F132" s="3" t="str">
        <f aca="false">IF(A132="","",IF(AND(B132&gt;=Summary!$B$3,B132&lt;=Summary!$B$5),1,0))</f>
        <v/>
      </c>
      <c r="G132" s="17" t="str">
        <f aca="false">IF(A132="","",SUMIFS(Widget_Data!$E$5:$E$500,Widget_Data!$A$5:$A$500,A132,Widget_Data!$C$5:$C$500,Summary!$B$4,Widget_Data!$D$5:$D$500,"&gt;="&amp;Summary!$B$3,Widget_Data!$D$5:$D$500,"&lt;="&amp;Summary!$B$5))</f>
        <v/>
      </c>
      <c r="H132" s="3" t="str">
        <f aca="false">IF(A132="","",IF(AND(F132=1,G132&gt;0,ABS(E132-G132)&lt;0.005),"Matched",IF(AND(F132=1,G132&gt;0),"Amount differs",IF(AND(F132=1,J132=0),"Missing in widget",IF(AND(F132=1,K132&lt;&gt;Summary!$B$4),"In widget - not approved",IF(F132=1,"In widget - approved in other month",IF(G132&gt;0,"Counted by widget - cost dated other month","Out of month - not in widget")))))))</f>
        <v/>
      </c>
      <c r="I132" s="17" t="str">
        <f aca="false">IF(A132="","",F132*E132-G132)</f>
        <v/>
      </c>
      <c r="J132" s="3" t="str">
        <f aca="false">IF(A132="","",COUNTIF(Widget_Data!$A$5:$A$500,A132))</f>
        <v/>
      </c>
      <c r="K132" s="3" t="str">
        <f aca="false">IF(OR(A132="",J132=0),"",INDEX(Widget_Data!$C$5:$C$500,MATCH(A132,Widget_Data!$A$5:$A$500,0)))</f>
        <v/>
      </c>
    </row>
    <row r="133" customFormat="false" ht="15" hidden="false" customHeight="false" outlineLevel="0" collapsed="false">
      <c r="F133" s="3" t="str">
        <f aca="false">IF(A133="","",IF(AND(B133&gt;=Summary!$B$3,B133&lt;=Summary!$B$5),1,0))</f>
        <v/>
      </c>
      <c r="G133" s="17" t="str">
        <f aca="false">IF(A133="","",SUMIFS(Widget_Data!$E$5:$E$500,Widget_Data!$A$5:$A$500,A133,Widget_Data!$C$5:$C$500,Summary!$B$4,Widget_Data!$D$5:$D$500,"&gt;="&amp;Summary!$B$3,Widget_Data!$D$5:$D$500,"&lt;="&amp;Summary!$B$5))</f>
        <v/>
      </c>
      <c r="H133" s="3" t="str">
        <f aca="false">IF(A133="","",IF(AND(F133=1,G133&gt;0,ABS(E133-G133)&lt;0.005),"Matched",IF(AND(F133=1,G133&gt;0),"Amount differs",IF(AND(F133=1,J133=0),"Missing in widget",IF(AND(F133=1,K133&lt;&gt;Summary!$B$4),"In widget - not approved",IF(F133=1,"In widget - approved in other month",IF(G133&gt;0,"Counted by widget - cost dated other month","Out of month - not in widget")))))))</f>
        <v/>
      </c>
      <c r="I133" s="17" t="str">
        <f aca="false">IF(A133="","",F133*E133-G133)</f>
        <v/>
      </c>
      <c r="J133" s="3" t="str">
        <f aca="false">IF(A133="","",COUNTIF(Widget_Data!$A$5:$A$500,A133))</f>
        <v/>
      </c>
      <c r="K133" s="3" t="str">
        <f aca="false">IF(OR(A133="",J133=0),"",INDEX(Widget_Data!$C$5:$C$500,MATCH(A133,Widget_Data!$A$5:$A$500,0)))</f>
        <v/>
      </c>
    </row>
    <row r="134" customFormat="false" ht="15" hidden="false" customHeight="false" outlineLevel="0" collapsed="false">
      <c r="F134" s="3" t="str">
        <f aca="false">IF(A134="","",IF(AND(B134&gt;=Summary!$B$3,B134&lt;=Summary!$B$5),1,0))</f>
        <v/>
      </c>
      <c r="G134" s="17" t="str">
        <f aca="false">IF(A134="","",SUMIFS(Widget_Data!$E$5:$E$500,Widget_Data!$A$5:$A$500,A134,Widget_Data!$C$5:$C$500,Summary!$B$4,Widget_Data!$D$5:$D$500,"&gt;="&amp;Summary!$B$3,Widget_Data!$D$5:$D$500,"&lt;="&amp;Summary!$B$5))</f>
        <v/>
      </c>
      <c r="H134" s="3" t="str">
        <f aca="false">IF(A134="","",IF(AND(F134=1,G134&gt;0,ABS(E134-G134)&lt;0.005),"Matched",IF(AND(F134=1,G134&gt;0),"Amount differs",IF(AND(F134=1,J134=0),"Missing in widget",IF(AND(F134=1,K134&lt;&gt;Summary!$B$4),"In widget - not approved",IF(F134=1,"In widget - approved in other month",IF(G134&gt;0,"Counted by widget - cost dated other month","Out of month - not in widget")))))))</f>
        <v/>
      </c>
      <c r="I134" s="17" t="str">
        <f aca="false">IF(A134="","",F134*E134-G134)</f>
        <v/>
      </c>
      <c r="J134" s="3" t="str">
        <f aca="false">IF(A134="","",COUNTIF(Widget_Data!$A$5:$A$500,A134))</f>
        <v/>
      </c>
      <c r="K134" s="3" t="str">
        <f aca="false">IF(OR(A134="",J134=0),"",INDEX(Widget_Data!$C$5:$C$500,MATCH(A134,Widget_Data!$A$5:$A$500,0)))</f>
        <v/>
      </c>
    </row>
    <row r="135" customFormat="false" ht="15" hidden="false" customHeight="false" outlineLevel="0" collapsed="false">
      <c r="F135" s="3" t="str">
        <f aca="false">IF(A135="","",IF(AND(B135&gt;=Summary!$B$3,B135&lt;=Summary!$B$5),1,0))</f>
        <v/>
      </c>
      <c r="G135" s="17" t="str">
        <f aca="false">IF(A135="","",SUMIFS(Widget_Data!$E$5:$E$500,Widget_Data!$A$5:$A$500,A135,Widget_Data!$C$5:$C$500,Summary!$B$4,Widget_Data!$D$5:$D$500,"&gt;="&amp;Summary!$B$3,Widget_Data!$D$5:$D$500,"&lt;="&amp;Summary!$B$5))</f>
        <v/>
      </c>
      <c r="H135" s="3" t="str">
        <f aca="false">IF(A135="","",IF(AND(F135=1,G135&gt;0,ABS(E135-G135)&lt;0.005),"Matched",IF(AND(F135=1,G135&gt;0),"Amount differs",IF(AND(F135=1,J135=0),"Missing in widget",IF(AND(F135=1,K135&lt;&gt;Summary!$B$4),"In widget - not approved",IF(F135=1,"In widget - approved in other month",IF(G135&gt;0,"Counted by widget - cost dated other month","Out of month - not in widget")))))))</f>
        <v/>
      </c>
      <c r="I135" s="17" t="str">
        <f aca="false">IF(A135="","",F135*E135-G135)</f>
        <v/>
      </c>
      <c r="J135" s="3" t="str">
        <f aca="false">IF(A135="","",COUNTIF(Widget_Data!$A$5:$A$500,A135))</f>
        <v/>
      </c>
      <c r="K135" s="3" t="str">
        <f aca="false">IF(OR(A135="",J135=0),"",INDEX(Widget_Data!$C$5:$C$500,MATCH(A135,Widget_Data!$A$5:$A$500,0)))</f>
        <v/>
      </c>
    </row>
    <row r="136" customFormat="false" ht="15" hidden="false" customHeight="false" outlineLevel="0" collapsed="false">
      <c r="F136" s="3" t="str">
        <f aca="false">IF(A136="","",IF(AND(B136&gt;=Summary!$B$3,B136&lt;=Summary!$B$5),1,0))</f>
        <v/>
      </c>
      <c r="G136" s="17" t="str">
        <f aca="false">IF(A136="","",SUMIFS(Widget_Data!$E$5:$E$500,Widget_Data!$A$5:$A$500,A136,Widget_Data!$C$5:$C$500,Summary!$B$4,Widget_Data!$D$5:$D$500,"&gt;="&amp;Summary!$B$3,Widget_Data!$D$5:$D$500,"&lt;="&amp;Summary!$B$5))</f>
        <v/>
      </c>
      <c r="H136" s="3" t="str">
        <f aca="false">IF(A136="","",IF(AND(F136=1,G136&gt;0,ABS(E136-G136)&lt;0.005),"Matched",IF(AND(F136=1,G136&gt;0),"Amount differs",IF(AND(F136=1,J136=0),"Missing in widget",IF(AND(F136=1,K136&lt;&gt;Summary!$B$4),"In widget - not approved",IF(F136=1,"In widget - approved in other month",IF(G136&gt;0,"Counted by widget - cost dated other month","Out of month - not in widget")))))))</f>
        <v/>
      </c>
      <c r="I136" s="17" t="str">
        <f aca="false">IF(A136="","",F136*E136-G136)</f>
        <v/>
      </c>
      <c r="J136" s="3" t="str">
        <f aca="false">IF(A136="","",COUNTIF(Widget_Data!$A$5:$A$500,A136))</f>
        <v/>
      </c>
      <c r="K136" s="3" t="str">
        <f aca="false">IF(OR(A136="",J136=0),"",INDEX(Widget_Data!$C$5:$C$500,MATCH(A136,Widget_Data!$A$5:$A$500,0)))</f>
        <v/>
      </c>
    </row>
    <row r="137" customFormat="false" ht="15" hidden="false" customHeight="false" outlineLevel="0" collapsed="false">
      <c r="F137" s="3" t="str">
        <f aca="false">IF(A137="","",IF(AND(B137&gt;=Summary!$B$3,B137&lt;=Summary!$B$5),1,0))</f>
        <v/>
      </c>
      <c r="G137" s="17" t="str">
        <f aca="false">IF(A137="","",SUMIFS(Widget_Data!$E$5:$E$500,Widget_Data!$A$5:$A$500,A137,Widget_Data!$C$5:$C$500,Summary!$B$4,Widget_Data!$D$5:$D$500,"&gt;="&amp;Summary!$B$3,Widget_Data!$D$5:$D$500,"&lt;="&amp;Summary!$B$5))</f>
        <v/>
      </c>
      <c r="H137" s="3" t="str">
        <f aca="false">IF(A137="","",IF(AND(F137=1,G137&gt;0,ABS(E137-G137)&lt;0.005),"Matched",IF(AND(F137=1,G137&gt;0),"Amount differs",IF(AND(F137=1,J137=0),"Missing in widget",IF(AND(F137=1,K137&lt;&gt;Summary!$B$4),"In widget - not approved",IF(F137=1,"In widget - approved in other month",IF(G137&gt;0,"Counted by widget - cost dated other month","Out of month - not in widget")))))))</f>
        <v/>
      </c>
      <c r="I137" s="17" t="str">
        <f aca="false">IF(A137="","",F137*E137-G137)</f>
        <v/>
      </c>
      <c r="J137" s="3" t="str">
        <f aca="false">IF(A137="","",COUNTIF(Widget_Data!$A$5:$A$500,A137))</f>
        <v/>
      </c>
      <c r="K137" s="3" t="str">
        <f aca="false">IF(OR(A137="",J137=0),"",INDEX(Widget_Data!$C$5:$C$500,MATCH(A137,Widget_Data!$A$5:$A$500,0)))</f>
        <v/>
      </c>
    </row>
    <row r="138" customFormat="false" ht="15" hidden="false" customHeight="false" outlineLevel="0" collapsed="false">
      <c r="F138" s="3" t="str">
        <f aca="false">IF(A138="","",IF(AND(B138&gt;=Summary!$B$3,B138&lt;=Summary!$B$5),1,0))</f>
        <v/>
      </c>
      <c r="G138" s="17" t="str">
        <f aca="false">IF(A138="","",SUMIFS(Widget_Data!$E$5:$E$500,Widget_Data!$A$5:$A$500,A138,Widget_Data!$C$5:$C$500,Summary!$B$4,Widget_Data!$D$5:$D$500,"&gt;="&amp;Summary!$B$3,Widget_Data!$D$5:$D$500,"&lt;="&amp;Summary!$B$5))</f>
        <v/>
      </c>
      <c r="H138" s="3" t="str">
        <f aca="false">IF(A138="","",IF(AND(F138=1,G138&gt;0,ABS(E138-G138)&lt;0.005),"Matched",IF(AND(F138=1,G138&gt;0),"Amount differs",IF(AND(F138=1,J138=0),"Missing in widget",IF(AND(F138=1,K138&lt;&gt;Summary!$B$4),"In widget - not approved",IF(F138=1,"In widget - approved in other month",IF(G138&gt;0,"Counted by widget - cost dated other month","Out of month - not in widget")))))))</f>
        <v/>
      </c>
      <c r="I138" s="17" t="str">
        <f aca="false">IF(A138="","",F138*E138-G138)</f>
        <v/>
      </c>
      <c r="J138" s="3" t="str">
        <f aca="false">IF(A138="","",COUNTIF(Widget_Data!$A$5:$A$500,A138))</f>
        <v/>
      </c>
      <c r="K138" s="3" t="str">
        <f aca="false">IF(OR(A138="",J138=0),"",INDEX(Widget_Data!$C$5:$C$500,MATCH(A138,Widget_Data!$A$5:$A$500,0)))</f>
        <v/>
      </c>
    </row>
    <row r="139" customFormat="false" ht="15" hidden="false" customHeight="false" outlineLevel="0" collapsed="false">
      <c r="F139" s="3" t="str">
        <f aca="false">IF(A139="","",IF(AND(B139&gt;=Summary!$B$3,B139&lt;=Summary!$B$5),1,0))</f>
        <v/>
      </c>
      <c r="G139" s="17" t="str">
        <f aca="false">IF(A139="","",SUMIFS(Widget_Data!$E$5:$E$500,Widget_Data!$A$5:$A$500,A139,Widget_Data!$C$5:$C$500,Summary!$B$4,Widget_Data!$D$5:$D$500,"&gt;="&amp;Summary!$B$3,Widget_Data!$D$5:$D$500,"&lt;="&amp;Summary!$B$5))</f>
        <v/>
      </c>
      <c r="H139" s="3" t="str">
        <f aca="false">IF(A139="","",IF(AND(F139=1,G139&gt;0,ABS(E139-G139)&lt;0.005),"Matched",IF(AND(F139=1,G139&gt;0),"Amount differs",IF(AND(F139=1,J139=0),"Missing in widget",IF(AND(F139=1,K139&lt;&gt;Summary!$B$4),"In widget - not approved",IF(F139=1,"In widget - approved in other month",IF(G139&gt;0,"Counted by widget - cost dated other month","Out of month - not in widget")))))))</f>
        <v/>
      </c>
      <c r="I139" s="17" t="str">
        <f aca="false">IF(A139="","",F139*E139-G139)</f>
        <v/>
      </c>
      <c r="J139" s="3" t="str">
        <f aca="false">IF(A139="","",COUNTIF(Widget_Data!$A$5:$A$500,A139))</f>
        <v/>
      </c>
      <c r="K139" s="3" t="str">
        <f aca="false">IF(OR(A139="",J139=0),"",INDEX(Widget_Data!$C$5:$C$500,MATCH(A139,Widget_Data!$A$5:$A$500,0)))</f>
        <v/>
      </c>
    </row>
    <row r="140" customFormat="false" ht="15" hidden="false" customHeight="false" outlineLevel="0" collapsed="false">
      <c r="F140" s="3" t="str">
        <f aca="false">IF(A140="","",IF(AND(B140&gt;=Summary!$B$3,B140&lt;=Summary!$B$5),1,0))</f>
        <v/>
      </c>
      <c r="G140" s="17" t="str">
        <f aca="false">IF(A140="","",SUMIFS(Widget_Data!$E$5:$E$500,Widget_Data!$A$5:$A$500,A140,Widget_Data!$C$5:$C$500,Summary!$B$4,Widget_Data!$D$5:$D$500,"&gt;="&amp;Summary!$B$3,Widget_Data!$D$5:$D$500,"&lt;="&amp;Summary!$B$5))</f>
        <v/>
      </c>
      <c r="H140" s="3" t="str">
        <f aca="false">IF(A140="","",IF(AND(F140=1,G140&gt;0,ABS(E140-G140)&lt;0.005),"Matched",IF(AND(F140=1,G140&gt;0),"Amount differs",IF(AND(F140=1,J140=0),"Missing in widget",IF(AND(F140=1,K140&lt;&gt;Summary!$B$4),"In widget - not approved",IF(F140=1,"In widget - approved in other month",IF(G140&gt;0,"Counted by widget - cost dated other month","Out of month - not in widget")))))))</f>
        <v/>
      </c>
      <c r="I140" s="17" t="str">
        <f aca="false">IF(A140="","",F140*E140-G140)</f>
        <v/>
      </c>
      <c r="J140" s="3" t="str">
        <f aca="false">IF(A140="","",COUNTIF(Widget_Data!$A$5:$A$500,A140))</f>
        <v/>
      </c>
      <c r="K140" s="3" t="str">
        <f aca="false">IF(OR(A140="",J140=0),"",INDEX(Widget_Data!$C$5:$C$500,MATCH(A140,Widget_Data!$A$5:$A$500,0)))</f>
        <v/>
      </c>
    </row>
    <row r="141" customFormat="false" ht="15" hidden="false" customHeight="false" outlineLevel="0" collapsed="false">
      <c r="F141" s="3" t="str">
        <f aca="false">IF(A141="","",IF(AND(B141&gt;=Summary!$B$3,B141&lt;=Summary!$B$5),1,0))</f>
        <v/>
      </c>
      <c r="G141" s="17" t="str">
        <f aca="false">IF(A141="","",SUMIFS(Widget_Data!$E$5:$E$500,Widget_Data!$A$5:$A$500,A141,Widget_Data!$C$5:$C$500,Summary!$B$4,Widget_Data!$D$5:$D$500,"&gt;="&amp;Summary!$B$3,Widget_Data!$D$5:$D$500,"&lt;="&amp;Summary!$B$5))</f>
        <v/>
      </c>
      <c r="H141" s="3" t="str">
        <f aca="false">IF(A141="","",IF(AND(F141=1,G141&gt;0,ABS(E141-G141)&lt;0.005),"Matched",IF(AND(F141=1,G141&gt;0),"Amount differs",IF(AND(F141=1,J141=0),"Missing in widget",IF(AND(F141=1,K141&lt;&gt;Summary!$B$4),"In widget - not approved",IF(F141=1,"In widget - approved in other month",IF(G141&gt;0,"Counted by widget - cost dated other month","Out of month - not in widget")))))))</f>
        <v/>
      </c>
      <c r="I141" s="17" t="str">
        <f aca="false">IF(A141="","",F141*E141-G141)</f>
        <v/>
      </c>
      <c r="J141" s="3" t="str">
        <f aca="false">IF(A141="","",COUNTIF(Widget_Data!$A$5:$A$500,A141))</f>
        <v/>
      </c>
      <c r="K141" s="3" t="str">
        <f aca="false">IF(OR(A141="",J141=0),"",INDEX(Widget_Data!$C$5:$C$500,MATCH(A141,Widget_Data!$A$5:$A$500,0)))</f>
        <v/>
      </c>
    </row>
    <row r="142" customFormat="false" ht="15" hidden="false" customHeight="false" outlineLevel="0" collapsed="false">
      <c r="F142" s="3" t="str">
        <f aca="false">IF(A142="","",IF(AND(B142&gt;=Summary!$B$3,B142&lt;=Summary!$B$5),1,0))</f>
        <v/>
      </c>
      <c r="G142" s="17" t="str">
        <f aca="false">IF(A142="","",SUMIFS(Widget_Data!$E$5:$E$500,Widget_Data!$A$5:$A$500,A142,Widget_Data!$C$5:$C$500,Summary!$B$4,Widget_Data!$D$5:$D$500,"&gt;="&amp;Summary!$B$3,Widget_Data!$D$5:$D$500,"&lt;="&amp;Summary!$B$5))</f>
        <v/>
      </c>
      <c r="H142" s="3" t="str">
        <f aca="false">IF(A142="","",IF(AND(F142=1,G142&gt;0,ABS(E142-G142)&lt;0.005),"Matched",IF(AND(F142=1,G142&gt;0),"Amount differs",IF(AND(F142=1,J142=0),"Missing in widget",IF(AND(F142=1,K142&lt;&gt;Summary!$B$4),"In widget - not approved",IF(F142=1,"In widget - approved in other month",IF(G142&gt;0,"Counted by widget - cost dated other month","Out of month - not in widget")))))))</f>
        <v/>
      </c>
      <c r="I142" s="17" t="str">
        <f aca="false">IF(A142="","",F142*E142-G142)</f>
        <v/>
      </c>
      <c r="J142" s="3" t="str">
        <f aca="false">IF(A142="","",COUNTIF(Widget_Data!$A$5:$A$500,A142))</f>
        <v/>
      </c>
      <c r="K142" s="3" t="str">
        <f aca="false">IF(OR(A142="",J142=0),"",INDEX(Widget_Data!$C$5:$C$500,MATCH(A142,Widget_Data!$A$5:$A$500,0)))</f>
        <v/>
      </c>
    </row>
    <row r="143" customFormat="false" ht="15" hidden="false" customHeight="false" outlineLevel="0" collapsed="false">
      <c r="F143" s="3" t="str">
        <f aca="false">IF(A143="","",IF(AND(B143&gt;=Summary!$B$3,B143&lt;=Summary!$B$5),1,0))</f>
        <v/>
      </c>
      <c r="G143" s="17" t="str">
        <f aca="false">IF(A143="","",SUMIFS(Widget_Data!$E$5:$E$500,Widget_Data!$A$5:$A$500,A143,Widget_Data!$C$5:$C$500,Summary!$B$4,Widget_Data!$D$5:$D$500,"&gt;="&amp;Summary!$B$3,Widget_Data!$D$5:$D$500,"&lt;="&amp;Summary!$B$5))</f>
        <v/>
      </c>
      <c r="H143" s="3" t="str">
        <f aca="false">IF(A143="","",IF(AND(F143=1,G143&gt;0,ABS(E143-G143)&lt;0.005),"Matched",IF(AND(F143=1,G143&gt;0),"Amount differs",IF(AND(F143=1,J143=0),"Missing in widget",IF(AND(F143=1,K143&lt;&gt;Summary!$B$4),"In widget - not approved",IF(F143=1,"In widget - approved in other month",IF(G143&gt;0,"Counted by widget - cost dated other month","Out of month - not in widget")))))))</f>
        <v/>
      </c>
      <c r="I143" s="17" t="str">
        <f aca="false">IF(A143="","",F143*E143-G143)</f>
        <v/>
      </c>
      <c r="J143" s="3" t="str">
        <f aca="false">IF(A143="","",COUNTIF(Widget_Data!$A$5:$A$500,A143))</f>
        <v/>
      </c>
      <c r="K143" s="3" t="str">
        <f aca="false">IF(OR(A143="",J143=0),"",INDEX(Widget_Data!$C$5:$C$500,MATCH(A143,Widget_Data!$A$5:$A$500,0)))</f>
        <v/>
      </c>
    </row>
    <row r="144" customFormat="false" ht="15" hidden="false" customHeight="false" outlineLevel="0" collapsed="false">
      <c r="F144" s="3" t="str">
        <f aca="false">IF(A144="","",IF(AND(B144&gt;=Summary!$B$3,B144&lt;=Summary!$B$5),1,0))</f>
        <v/>
      </c>
      <c r="G144" s="17" t="str">
        <f aca="false">IF(A144="","",SUMIFS(Widget_Data!$E$5:$E$500,Widget_Data!$A$5:$A$500,A144,Widget_Data!$C$5:$C$500,Summary!$B$4,Widget_Data!$D$5:$D$500,"&gt;="&amp;Summary!$B$3,Widget_Data!$D$5:$D$500,"&lt;="&amp;Summary!$B$5))</f>
        <v/>
      </c>
      <c r="H144" s="3" t="str">
        <f aca="false">IF(A144="","",IF(AND(F144=1,G144&gt;0,ABS(E144-G144)&lt;0.005),"Matched",IF(AND(F144=1,G144&gt;0),"Amount differs",IF(AND(F144=1,J144=0),"Missing in widget",IF(AND(F144=1,K144&lt;&gt;Summary!$B$4),"In widget - not approved",IF(F144=1,"In widget - approved in other month",IF(G144&gt;0,"Counted by widget - cost dated other month","Out of month - not in widget")))))))</f>
        <v/>
      </c>
      <c r="I144" s="17" t="str">
        <f aca="false">IF(A144="","",F144*E144-G144)</f>
        <v/>
      </c>
      <c r="J144" s="3" t="str">
        <f aca="false">IF(A144="","",COUNTIF(Widget_Data!$A$5:$A$500,A144))</f>
        <v/>
      </c>
      <c r="K144" s="3" t="str">
        <f aca="false">IF(OR(A144="",J144=0),"",INDEX(Widget_Data!$C$5:$C$500,MATCH(A144,Widget_Data!$A$5:$A$500,0)))</f>
        <v/>
      </c>
    </row>
    <row r="145" customFormat="false" ht="15" hidden="false" customHeight="false" outlineLevel="0" collapsed="false">
      <c r="F145" s="3" t="str">
        <f aca="false">IF(A145="","",IF(AND(B145&gt;=Summary!$B$3,B145&lt;=Summary!$B$5),1,0))</f>
        <v/>
      </c>
      <c r="G145" s="17" t="str">
        <f aca="false">IF(A145="","",SUMIFS(Widget_Data!$E$5:$E$500,Widget_Data!$A$5:$A$500,A145,Widget_Data!$C$5:$C$500,Summary!$B$4,Widget_Data!$D$5:$D$500,"&gt;="&amp;Summary!$B$3,Widget_Data!$D$5:$D$500,"&lt;="&amp;Summary!$B$5))</f>
        <v/>
      </c>
      <c r="H145" s="3" t="str">
        <f aca="false">IF(A145="","",IF(AND(F145=1,G145&gt;0,ABS(E145-G145)&lt;0.005),"Matched",IF(AND(F145=1,G145&gt;0),"Amount differs",IF(AND(F145=1,J145=0),"Missing in widget",IF(AND(F145=1,K145&lt;&gt;Summary!$B$4),"In widget - not approved",IF(F145=1,"In widget - approved in other month",IF(G145&gt;0,"Counted by widget - cost dated other month","Out of month - not in widget")))))))</f>
        <v/>
      </c>
      <c r="I145" s="17" t="str">
        <f aca="false">IF(A145="","",F145*E145-G145)</f>
        <v/>
      </c>
      <c r="J145" s="3" t="str">
        <f aca="false">IF(A145="","",COUNTIF(Widget_Data!$A$5:$A$500,A145))</f>
        <v/>
      </c>
      <c r="K145" s="3" t="str">
        <f aca="false">IF(OR(A145="",J145=0),"",INDEX(Widget_Data!$C$5:$C$500,MATCH(A145,Widget_Data!$A$5:$A$500,0)))</f>
        <v/>
      </c>
    </row>
    <row r="146" customFormat="false" ht="15" hidden="false" customHeight="false" outlineLevel="0" collapsed="false">
      <c r="F146" s="3" t="str">
        <f aca="false">IF(A146="","",IF(AND(B146&gt;=Summary!$B$3,B146&lt;=Summary!$B$5),1,0))</f>
        <v/>
      </c>
      <c r="G146" s="17" t="str">
        <f aca="false">IF(A146="","",SUMIFS(Widget_Data!$E$5:$E$500,Widget_Data!$A$5:$A$500,A146,Widget_Data!$C$5:$C$500,Summary!$B$4,Widget_Data!$D$5:$D$500,"&gt;="&amp;Summary!$B$3,Widget_Data!$D$5:$D$500,"&lt;="&amp;Summary!$B$5))</f>
        <v/>
      </c>
      <c r="H146" s="3" t="str">
        <f aca="false">IF(A146="","",IF(AND(F146=1,G146&gt;0,ABS(E146-G146)&lt;0.005),"Matched",IF(AND(F146=1,G146&gt;0),"Amount differs",IF(AND(F146=1,J146=0),"Missing in widget",IF(AND(F146=1,K146&lt;&gt;Summary!$B$4),"In widget - not approved",IF(F146=1,"In widget - approved in other month",IF(G146&gt;0,"Counted by widget - cost dated other month","Out of month - not in widget")))))))</f>
        <v/>
      </c>
      <c r="I146" s="17" t="str">
        <f aca="false">IF(A146="","",F146*E146-G146)</f>
        <v/>
      </c>
      <c r="J146" s="3" t="str">
        <f aca="false">IF(A146="","",COUNTIF(Widget_Data!$A$5:$A$500,A146))</f>
        <v/>
      </c>
      <c r="K146" s="3" t="str">
        <f aca="false">IF(OR(A146="",J146=0),"",INDEX(Widget_Data!$C$5:$C$500,MATCH(A146,Widget_Data!$A$5:$A$500,0)))</f>
        <v/>
      </c>
    </row>
    <row r="147" customFormat="false" ht="15" hidden="false" customHeight="false" outlineLevel="0" collapsed="false">
      <c r="F147" s="3" t="str">
        <f aca="false">IF(A147="","",IF(AND(B147&gt;=Summary!$B$3,B147&lt;=Summary!$B$5),1,0))</f>
        <v/>
      </c>
      <c r="G147" s="17" t="str">
        <f aca="false">IF(A147="","",SUMIFS(Widget_Data!$E$5:$E$500,Widget_Data!$A$5:$A$500,A147,Widget_Data!$C$5:$C$500,Summary!$B$4,Widget_Data!$D$5:$D$500,"&gt;="&amp;Summary!$B$3,Widget_Data!$D$5:$D$500,"&lt;="&amp;Summary!$B$5))</f>
        <v/>
      </c>
      <c r="H147" s="3" t="str">
        <f aca="false">IF(A147="","",IF(AND(F147=1,G147&gt;0,ABS(E147-G147)&lt;0.005),"Matched",IF(AND(F147=1,G147&gt;0),"Amount differs",IF(AND(F147=1,J147=0),"Missing in widget",IF(AND(F147=1,K147&lt;&gt;Summary!$B$4),"In widget - not approved",IF(F147=1,"In widget - approved in other month",IF(G147&gt;0,"Counted by widget - cost dated other month","Out of month - not in widget")))))))</f>
        <v/>
      </c>
      <c r="I147" s="17" t="str">
        <f aca="false">IF(A147="","",F147*E147-G147)</f>
        <v/>
      </c>
      <c r="J147" s="3" t="str">
        <f aca="false">IF(A147="","",COUNTIF(Widget_Data!$A$5:$A$500,A147))</f>
        <v/>
      </c>
      <c r="K147" s="3" t="str">
        <f aca="false">IF(OR(A147="",J147=0),"",INDEX(Widget_Data!$C$5:$C$500,MATCH(A147,Widget_Data!$A$5:$A$500,0)))</f>
        <v/>
      </c>
    </row>
    <row r="148" customFormat="false" ht="15" hidden="false" customHeight="false" outlineLevel="0" collapsed="false">
      <c r="F148" s="3" t="str">
        <f aca="false">IF(A148="","",IF(AND(B148&gt;=Summary!$B$3,B148&lt;=Summary!$B$5),1,0))</f>
        <v/>
      </c>
      <c r="G148" s="17" t="str">
        <f aca="false">IF(A148="","",SUMIFS(Widget_Data!$E$5:$E$500,Widget_Data!$A$5:$A$500,A148,Widget_Data!$C$5:$C$500,Summary!$B$4,Widget_Data!$D$5:$D$500,"&gt;="&amp;Summary!$B$3,Widget_Data!$D$5:$D$500,"&lt;="&amp;Summary!$B$5))</f>
        <v/>
      </c>
      <c r="H148" s="3" t="str">
        <f aca="false">IF(A148="","",IF(AND(F148=1,G148&gt;0,ABS(E148-G148)&lt;0.005),"Matched",IF(AND(F148=1,G148&gt;0),"Amount differs",IF(AND(F148=1,J148=0),"Missing in widget",IF(AND(F148=1,K148&lt;&gt;Summary!$B$4),"In widget - not approved",IF(F148=1,"In widget - approved in other month",IF(G148&gt;0,"Counted by widget - cost dated other month","Out of month - not in widget")))))))</f>
        <v/>
      </c>
      <c r="I148" s="17" t="str">
        <f aca="false">IF(A148="","",F148*E148-G148)</f>
        <v/>
      </c>
      <c r="J148" s="3" t="str">
        <f aca="false">IF(A148="","",COUNTIF(Widget_Data!$A$5:$A$500,A148))</f>
        <v/>
      </c>
      <c r="K148" s="3" t="str">
        <f aca="false">IF(OR(A148="",J148=0),"",INDEX(Widget_Data!$C$5:$C$500,MATCH(A148,Widget_Data!$A$5:$A$500,0)))</f>
        <v/>
      </c>
    </row>
    <row r="149" customFormat="false" ht="15" hidden="false" customHeight="false" outlineLevel="0" collapsed="false">
      <c r="F149" s="3" t="str">
        <f aca="false">IF(A149="","",IF(AND(B149&gt;=Summary!$B$3,B149&lt;=Summary!$B$5),1,0))</f>
        <v/>
      </c>
      <c r="G149" s="17" t="str">
        <f aca="false">IF(A149="","",SUMIFS(Widget_Data!$E$5:$E$500,Widget_Data!$A$5:$A$500,A149,Widget_Data!$C$5:$C$500,Summary!$B$4,Widget_Data!$D$5:$D$500,"&gt;="&amp;Summary!$B$3,Widget_Data!$D$5:$D$500,"&lt;="&amp;Summary!$B$5))</f>
        <v/>
      </c>
      <c r="H149" s="3" t="str">
        <f aca="false">IF(A149="","",IF(AND(F149=1,G149&gt;0,ABS(E149-G149)&lt;0.005),"Matched",IF(AND(F149=1,G149&gt;0),"Amount differs",IF(AND(F149=1,J149=0),"Missing in widget",IF(AND(F149=1,K149&lt;&gt;Summary!$B$4),"In widget - not approved",IF(F149=1,"In widget - approved in other month",IF(G149&gt;0,"Counted by widget - cost dated other month","Out of month - not in widget")))))))</f>
        <v/>
      </c>
      <c r="I149" s="17" t="str">
        <f aca="false">IF(A149="","",F149*E149-G149)</f>
        <v/>
      </c>
      <c r="J149" s="3" t="str">
        <f aca="false">IF(A149="","",COUNTIF(Widget_Data!$A$5:$A$500,A149))</f>
        <v/>
      </c>
      <c r="K149" s="3" t="str">
        <f aca="false">IF(OR(A149="",J149=0),"",INDEX(Widget_Data!$C$5:$C$500,MATCH(A149,Widget_Data!$A$5:$A$500,0)))</f>
        <v/>
      </c>
    </row>
    <row r="150" customFormat="false" ht="15" hidden="false" customHeight="false" outlineLevel="0" collapsed="false">
      <c r="F150" s="3" t="str">
        <f aca="false">IF(A150="","",IF(AND(B150&gt;=Summary!$B$3,B150&lt;=Summary!$B$5),1,0))</f>
        <v/>
      </c>
      <c r="G150" s="17" t="str">
        <f aca="false">IF(A150="","",SUMIFS(Widget_Data!$E$5:$E$500,Widget_Data!$A$5:$A$500,A150,Widget_Data!$C$5:$C$500,Summary!$B$4,Widget_Data!$D$5:$D$500,"&gt;="&amp;Summary!$B$3,Widget_Data!$D$5:$D$500,"&lt;="&amp;Summary!$B$5))</f>
        <v/>
      </c>
      <c r="H150" s="3" t="str">
        <f aca="false">IF(A150="","",IF(AND(F150=1,G150&gt;0,ABS(E150-G150)&lt;0.005),"Matched",IF(AND(F150=1,G150&gt;0),"Amount differs",IF(AND(F150=1,J150=0),"Missing in widget",IF(AND(F150=1,K150&lt;&gt;Summary!$B$4),"In widget - not approved",IF(F150=1,"In widget - approved in other month",IF(G150&gt;0,"Counted by widget - cost dated other month","Out of month - not in widget")))))))</f>
        <v/>
      </c>
      <c r="I150" s="17" t="str">
        <f aca="false">IF(A150="","",F150*E150-G150)</f>
        <v/>
      </c>
      <c r="J150" s="3" t="str">
        <f aca="false">IF(A150="","",COUNTIF(Widget_Data!$A$5:$A$500,A150))</f>
        <v/>
      </c>
      <c r="K150" s="3" t="str">
        <f aca="false">IF(OR(A150="",J150=0),"",INDEX(Widget_Data!$C$5:$C$500,MATCH(A150,Widget_Data!$A$5:$A$500,0)))</f>
        <v/>
      </c>
    </row>
    <row r="151" customFormat="false" ht="15" hidden="false" customHeight="false" outlineLevel="0" collapsed="false">
      <c r="F151" s="3" t="str">
        <f aca="false">IF(A151="","",IF(AND(B151&gt;=Summary!$B$3,B151&lt;=Summary!$B$5),1,0))</f>
        <v/>
      </c>
      <c r="G151" s="17" t="str">
        <f aca="false">IF(A151="","",SUMIFS(Widget_Data!$E$5:$E$500,Widget_Data!$A$5:$A$500,A151,Widget_Data!$C$5:$C$500,Summary!$B$4,Widget_Data!$D$5:$D$500,"&gt;="&amp;Summary!$B$3,Widget_Data!$D$5:$D$500,"&lt;="&amp;Summary!$B$5))</f>
        <v/>
      </c>
      <c r="H151" s="3" t="str">
        <f aca="false">IF(A151="","",IF(AND(F151=1,G151&gt;0,ABS(E151-G151)&lt;0.005),"Matched",IF(AND(F151=1,G151&gt;0),"Amount differs",IF(AND(F151=1,J151=0),"Missing in widget",IF(AND(F151=1,K151&lt;&gt;Summary!$B$4),"In widget - not approved",IF(F151=1,"In widget - approved in other month",IF(G151&gt;0,"Counted by widget - cost dated other month","Out of month - not in widget")))))))</f>
        <v/>
      </c>
      <c r="I151" s="17" t="str">
        <f aca="false">IF(A151="","",F151*E151-G151)</f>
        <v/>
      </c>
      <c r="J151" s="3" t="str">
        <f aca="false">IF(A151="","",COUNTIF(Widget_Data!$A$5:$A$500,A151))</f>
        <v/>
      </c>
      <c r="K151" s="3" t="str">
        <f aca="false">IF(OR(A151="",J151=0),"",INDEX(Widget_Data!$C$5:$C$500,MATCH(A151,Widget_Data!$A$5:$A$500,0)))</f>
        <v/>
      </c>
    </row>
    <row r="152" customFormat="false" ht="15" hidden="false" customHeight="false" outlineLevel="0" collapsed="false">
      <c r="F152" s="3" t="str">
        <f aca="false">IF(A152="","",IF(AND(B152&gt;=Summary!$B$3,B152&lt;=Summary!$B$5),1,0))</f>
        <v/>
      </c>
      <c r="G152" s="17" t="str">
        <f aca="false">IF(A152="","",SUMIFS(Widget_Data!$E$5:$E$500,Widget_Data!$A$5:$A$500,A152,Widget_Data!$C$5:$C$500,Summary!$B$4,Widget_Data!$D$5:$D$500,"&gt;="&amp;Summary!$B$3,Widget_Data!$D$5:$D$500,"&lt;="&amp;Summary!$B$5))</f>
        <v/>
      </c>
      <c r="H152" s="3" t="str">
        <f aca="false">IF(A152="","",IF(AND(F152=1,G152&gt;0,ABS(E152-G152)&lt;0.005),"Matched",IF(AND(F152=1,G152&gt;0),"Amount differs",IF(AND(F152=1,J152=0),"Missing in widget",IF(AND(F152=1,K152&lt;&gt;Summary!$B$4),"In widget - not approved",IF(F152=1,"In widget - approved in other month",IF(G152&gt;0,"Counted by widget - cost dated other month","Out of month - not in widget")))))))</f>
        <v/>
      </c>
      <c r="I152" s="17" t="str">
        <f aca="false">IF(A152="","",F152*E152-G152)</f>
        <v/>
      </c>
      <c r="J152" s="3" t="str">
        <f aca="false">IF(A152="","",COUNTIF(Widget_Data!$A$5:$A$500,A152))</f>
        <v/>
      </c>
      <c r="K152" s="3" t="str">
        <f aca="false">IF(OR(A152="",J152=0),"",INDEX(Widget_Data!$C$5:$C$500,MATCH(A152,Widget_Data!$A$5:$A$500,0)))</f>
        <v/>
      </c>
    </row>
    <row r="153" customFormat="false" ht="15" hidden="false" customHeight="false" outlineLevel="0" collapsed="false">
      <c r="F153" s="3" t="str">
        <f aca="false">IF(A153="","",IF(AND(B153&gt;=Summary!$B$3,B153&lt;=Summary!$B$5),1,0))</f>
        <v/>
      </c>
      <c r="G153" s="17" t="str">
        <f aca="false">IF(A153="","",SUMIFS(Widget_Data!$E$5:$E$500,Widget_Data!$A$5:$A$500,A153,Widget_Data!$C$5:$C$500,Summary!$B$4,Widget_Data!$D$5:$D$500,"&gt;="&amp;Summary!$B$3,Widget_Data!$D$5:$D$500,"&lt;="&amp;Summary!$B$5))</f>
        <v/>
      </c>
      <c r="H153" s="3" t="str">
        <f aca="false">IF(A153="","",IF(AND(F153=1,G153&gt;0,ABS(E153-G153)&lt;0.005),"Matched",IF(AND(F153=1,G153&gt;0),"Amount differs",IF(AND(F153=1,J153=0),"Missing in widget",IF(AND(F153=1,K153&lt;&gt;Summary!$B$4),"In widget - not approved",IF(F153=1,"In widget - approved in other month",IF(G153&gt;0,"Counted by widget - cost dated other month","Out of month - not in widget")))))))</f>
        <v/>
      </c>
      <c r="I153" s="17" t="str">
        <f aca="false">IF(A153="","",F153*E153-G153)</f>
        <v/>
      </c>
      <c r="J153" s="3" t="str">
        <f aca="false">IF(A153="","",COUNTIF(Widget_Data!$A$5:$A$500,A153))</f>
        <v/>
      </c>
      <c r="K153" s="3" t="str">
        <f aca="false">IF(OR(A153="",J153=0),"",INDEX(Widget_Data!$C$5:$C$500,MATCH(A153,Widget_Data!$A$5:$A$500,0)))</f>
        <v/>
      </c>
    </row>
    <row r="154" customFormat="false" ht="15" hidden="false" customHeight="false" outlineLevel="0" collapsed="false">
      <c r="F154" s="3" t="str">
        <f aca="false">IF(A154="","",IF(AND(B154&gt;=Summary!$B$3,B154&lt;=Summary!$B$5),1,0))</f>
        <v/>
      </c>
      <c r="G154" s="17" t="str">
        <f aca="false">IF(A154="","",SUMIFS(Widget_Data!$E$5:$E$500,Widget_Data!$A$5:$A$500,A154,Widget_Data!$C$5:$C$500,Summary!$B$4,Widget_Data!$D$5:$D$500,"&gt;="&amp;Summary!$B$3,Widget_Data!$D$5:$D$500,"&lt;="&amp;Summary!$B$5))</f>
        <v/>
      </c>
      <c r="H154" s="3" t="str">
        <f aca="false">IF(A154="","",IF(AND(F154=1,G154&gt;0,ABS(E154-G154)&lt;0.005),"Matched",IF(AND(F154=1,G154&gt;0),"Amount differs",IF(AND(F154=1,J154=0),"Missing in widget",IF(AND(F154=1,K154&lt;&gt;Summary!$B$4),"In widget - not approved",IF(F154=1,"In widget - approved in other month",IF(G154&gt;0,"Counted by widget - cost dated other month","Out of month - not in widget")))))))</f>
        <v/>
      </c>
      <c r="I154" s="17" t="str">
        <f aca="false">IF(A154="","",F154*E154-G154)</f>
        <v/>
      </c>
      <c r="J154" s="3" t="str">
        <f aca="false">IF(A154="","",COUNTIF(Widget_Data!$A$5:$A$500,A154))</f>
        <v/>
      </c>
      <c r="K154" s="3" t="str">
        <f aca="false">IF(OR(A154="",J154=0),"",INDEX(Widget_Data!$C$5:$C$500,MATCH(A154,Widget_Data!$A$5:$A$500,0)))</f>
        <v/>
      </c>
    </row>
  </sheetData>
  <autoFilter ref="A4:K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10" t="s">
        <v>100</v>
      </c>
    </row>
    <row r="4" customFormat="false" ht="23.85" hidden="false" customHeight="false" outlineLevel="0" collapsed="false">
      <c r="A4" s="11" t="s">
        <v>43</v>
      </c>
      <c r="B4" s="11" t="s">
        <v>101</v>
      </c>
      <c r="C4" s="11" t="s">
        <v>102</v>
      </c>
      <c r="D4" s="11" t="s">
        <v>103</v>
      </c>
      <c r="E4" s="11" t="s">
        <v>47</v>
      </c>
      <c r="F4" s="11" t="s">
        <v>45</v>
      </c>
      <c r="G4" s="11" t="s">
        <v>104</v>
      </c>
      <c r="H4" s="11" t="s">
        <v>105</v>
      </c>
      <c r="I4" s="11" t="s">
        <v>106</v>
      </c>
      <c r="J4" s="11" t="s">
        <v>107</v>
      </c>
    </row>
    <row r="5" customFormat="false" ht="15" hidden="false" customHeight="false" outlineLevel="0" collapsed="false">
      <c r="A5" s="14" t="s">
        <v>52</v>
      </c>
      <c r="B5" s="14" t="s">
        <v>108</v>
      </c>
      <c r="C5" s="14" t="s">
        <v>17</v>
      </c>
      <c r="D5" s="15" t="n">
        <v>46238</v>
      </c>
      <c r="E5" s="16" t="n">
        <v>1200</v>
      </c>
      <c r="F5" s="14" t="s">
        <v>53</v>
      </c>
      <c r="G5" s="17" t="n">
        <f aca="false">IF(A5="","",IF(AND(C5=Summary!$B$4,D5&gt;=Summary!$B$3,D5&lt;=Summary!$B$5),E5,0))</f>
        <v>1200</v>
      </c>
      <c r="H5" s="17" t="n">
        <f aca="false">IF(A5="","",IF(J5,0,-G5))</f>
        <v>0</v>
      </c>
      <c r="I5" s="18" t="b">
        <f aca="false">IF(A5="","",COUNTIF($A$5:$A$500,A5)&gt;1)</f>
        <v>0</v>
      </c>
      <c r="J5" s="18" t="b">
        <f aca="false">IF(A5="","",COUNTIF(Report_Data!$A$5:$A$500,A5)&gt;0)</f>
        <v>1</v>
      </c>
    </row>
    <row r="6" customFormat="false" ht="15" hidden="false" customHeight="false" outlineLevel="0" collapsed="false">
      <c r="A6" s="14" t="s">
        <v>55</v>
      </c>
      <c r="B6" s="14" t="s">
        <v>108</v>
      </c>
      <c r="C6" s="14" t="s">
        <v>17</v>
      </c>
      <c r="D6" s="15" t="n">
        <v>46239</v>
      </c>
      <c r="E6" s="16" t="n">
        <v>845.5</v>
      </c>
      <c r="F6" s="14" t="s">
        <v>53</v>
      </c>
      <c r="G6" s="17" t="n">
        <f aca="false">IF(A6="","",IF(AND(C6=Summary!$B$4,D6&gt;=Summary!$B$3,D6&lt;=Summary!$B$5),E6,0))</f>
        <v>845.5</v>
      </c>
      <c r="H6" s="17" t="n">
        <f aca="false">IF(A6="","",IF(J6,0,-G6))</f>
        <v>0</v>
      </c>
      <c r="I6" s="18" t="b">
        <f aca="false">IF(A6="","",COUNTIF($A$5:$A$500,A6)&gt;1)</f>
        <v>0</v>
      </c>
      <c r="J6" s="18" t="b">
        <f aca="false">IF(A6="","",COUNTIF(Report_Data!$A$5:$A$500,A6)&gt;0)</f>
        <v>1</v>
      </c>
    </row>
    <row r="7" customFormat="false" ht="15" hidden="false" customHeight="false" outlineLevel="0" collapsed="false">
      <c r="A7" s="14" t="s">
        <v>57</v>
      </c>
      <c r="B7" s="14" t="s">
        <v>109</v>
      </c>
      <c r="C7" s="14" t="s">
        <v>17</v>
      </c>
      <c r="D7" s="15" t="n">
        <v>46237</v>
      </c>
      <c r="E7" s="16" t="n">
        <v>640</v>
      </c>
      <c r="F7" s="14" t="s">
        <v>58</v>
      </c>
      <c r="G7" s="17" t="n">
        <f aca="false">IF(A7="","",IF(AND(C7=Summary!$B$4,D7&gt;=Summary!$B$3,D7&lt;=Summary!$B$5),E7,0))</f>
        <v>640</v>
      </c>
      <c r="H7" s="17" t="n">
        <f aca="false">IF(A7="","",IF(J7,0,-G7))</f>
        <v>0</v>
      </c>
      <c r="I7" s="18" t="b">
        <f aca="false">IF(A7="","",COUNTIF($A$5:$A$500,A7)&gt;1)</f>
        <v>0</v>
      </c>
      <c r="J7" s="18" t="b">
        <f aca="false">IF(A7="","",COUNTIF(Report_Data!$A$5:$A$500,A7)&gt;0)</f>
        <v>1</v>
      </c>
    </row>
    <row r="8" customFormat="false" ht="15" hidden="false" customHeight="false" outlineLevel="0" collapsed="false">
      <c r="A8" s="14" t="s">
        <v>60</v>
      </c>
      <c r="B8" s="14" t="s">
        <v>109</v>
      </c>
      <c r="C8" s="14" t="s">
        <v>17</v>
      </c>
      <c r="D8" s="15" t="n">
        <v>46241</v>
      </c>
      <c r="E8" s="16" t="n">
        <v>2310.75</v>
      </c>
      <c r="F8" s="14" t="s">
        <v>58</v>
      </c>
      <c r="G8" s="17" t="n">
        <f aca="false">IF(A8="","",IF(AND(C8=Summary!$B$4,D8&gt;=Summary!$B$3,D8&lt;=Summary!$B$5),E8,0))</f>
        <v>2310.75</v>
      </c>
      <c r="H8" s="17" t="n">
        <f aca="false">IF(A8="","",IF(J8,0,-G8))</f>
        <v>0</v>
      </c>
      <c r="I8" s="18" t="b">
        <f aca="false">IF(A8="","",COUNTIF($A$5:$A$500,A8)&gt;1)</f>
        <v>0</v>
      </c>
      <c r="J8" s="18" t="b">
        <f aca="false">IF(A8="","",COUNTIF(Report_Data!$A$5:$A$500,A8)&gt;0)</f>
        <v>1</v>
      </c>
    </row>
    <row r="9" customFormat="false" ht="15" hidden="false" customHeight="false" outlineLevel="0" collapsed="false">
      <c r="A9" s="14" t="s">
        <v>62</v>
      </c>
      <c r="B9" s="14" t="s">
        <v>110</v>
      </c>
      <c r="C9" s="14" t="s">
        <v>17</v>
      </c>
      <c r="D9" s="15" t="n">
        <v>46242</v>
      </c>
      <c r="E9" s="16" t="n">
        <v>399.99</v>
      </c>
      <c r="F9" s="14" t="s">
        <v>63</v>
      </c>
      <c r="G9" s="17" t="n">
        <f aca="false">IF(A9="","",IF(AND(C9=Summary!$B$4,D9&gt;=Summary!$B$3,D9&lt;=Summary!$B$5),E9,0))</f>
        <v>399.99</v>
      </c>
      <c r="H9" s="17" t="n">
        <f aca="false">IF(A9="","",IF(J9,0,-G9))</f>
        <v>0</v>
      </c>
      <c r="I9" s="18" t="b">
        <f aca="false">IF(A9="","",COUNTIF($A$5:$A$500,A9)&gt;1)</f>
        <v>0</v>
      </c>
      <c r="J9" s="18" t="b">
        <f aca="false">IF(A9="","",COUNTIF(Report_Data!$A$5:$A$500,A9)&gt;0)</f>
        <v>1</v>
      </c>
    </row>
    <row r="10" customFormat="false" ht="15" hidden="false" customHeight="false" outlineLevel="0" collapsed="false">
      <c r="A10" s="14" t="s">
        <v>65</v>
      </c>
      <c r="B10" s="14" t="s">
        <v>110</v>
      </c>
      <c r="C10" s="14" t="s">
        <v>17</v>
      </c>
      <c r="D10" s="15" t="n">
        <v>46245</v>
      </c>
      <c r="E10" s="16" t="n">
        <v>1750</v>
      </c>
      <c r="F10" s="14" t="s">
        <v>63</v>
      </c>
      <c r="G10" s="17" t="n">
        <f aca="false">IF(A10="","",IF(AND(C10=Summary!$B$4,D10&gt;=Summary!$B$3,D10&lt;=Summary!$B$5),E10,0))</f>
        <v>1750</v>
      </c>
      <c r="H10" s="17" t="n">
        <f aca="false">IF(A10="","",IF(J10,0,-G10))</f>
        <v>0</v>
      </c>
      <c r="I10" s="18" t="b">
        <f aca="false">IF(A10="","",COUNTIF($A$5:$A$500,A10)&gt;1)</f>
        <v>0</v>
      </c>
      <c r="J10" s="18" t="b">
        <f aca="false">IF(A10="","",COUNTIF(Report_Data!$A$5:$A$500,A10)&gt;0)</f>
        <v>1</v>
      </c>
    </row>
    <row r="11" customFormat="false" ht="15" hidden="false" customHeight="false" outlineLevel="0" collapsed="false">
      <c r="A11" s="14" t="s">
        <v>70</v>
      </c>
      <c r="B11" s="14" t="s">
        <v>111</v>
      </c>
      <c r="C11" s="14" t="s">
        <v>17</v>
      </c>
      <c r="D11" s="15" t="n">
        <v>46247</v>
      </c>
      <c r="E11" s="16" t="n">
        <v>4200</v>
      </c>
      <c r="F11" s="14" t="s">
        <v>68</v>
      </c>
      <c r="G11" s="17" t="n">
        <f aca="false">IF(A11="","",IF(AND(C11=Summary!$B$4,D11&gt;=Summary!$B$3,D11&lt;=Summary!$B$5),E11,0))</f>
        <v>4200</v>
      </c>
      <c r="H11" s="17" t="n">
        <f aca="false">IF(A11="","",IF(J11,0,-G11))</f>
        <v>0</v>
      </c>
      <c r="I11" s="18" t="b">
        <f aca="false">IF(A11="","",COUNTIF($A$5:$A$500,A11)&gt;1)</f>
        <v>0</v>
      </c>
      <c r="J11" s="18" t="b">
        <f aca="false">IF(A11="","",COUNTIF(Report_Data!$A$5:$A$500,A11)&gt;0)</f>
        <v>1</v>
      </c>
    </row>
    <row r="12" customFormat="false" ht="15" hidden="false" customHeight="false" outlineLevel="0" collapsed="false">
      <c r="A12" s="14" t="s">
        <v>72</v>
      </c>
      <c r="B12" s="14" t="s">
        <v>108</v>
      </c>
      <c r="C12" s="14" t="s">
        <v>17</v>
      </c>
      <c r="D12" s="15" t="n">
        <v>46248</v>
      </c>
      <c r="E12" s="16" t="n">
        <v>125.4</v>
      </c>
      <c r="F12" s="14" t="s">
        <v>53</v>
      </c>
      <c r="G12" s="17" t="n">
        <f aca="false">IF(A12="","",IF(AND(C12=Summary!$B$4,D12&gt;=Summary!$B$3,D12&lt;=Summary!$B$5),E12,0))</f>
        <v>125.4</v>
      </c>
      <c r="H12" s="17" t="n">
        <f aca="false">IF(A12="","",IF(J12,0,-G12))</f>
        <v>0</v>
      </c>
      <c r="I12" s="18" t="b">
        <f aca="false">IF(A12="","",COUNTIF($A$5:$A$500,A12)&gt;1)</f>
        <v>0</v>
      </c>
      <c r="J12" s="18" t="b">
        <f aca="false">IF(A12="","",COUNTIF(Report_Data!$A$5:$A$500,A12)&gt;0)</f>
        <v>1</v>
      </c>
    </row>
    <row r="13" customFormat="false" ht="15" hidden="false" customHeight="false" outlineLevel="0" collapsed="false">
      <c r="A13" s="14" t="s">
        <v>74</v>
      </c>
      <c r="B13" s="14" t="s">
        <v>108</v>
      </c>
      <c r="C13" s="14" t="s">
        <v>17</v>
      </c>
      <c r="D13" s="15" t="n">
        <v>46251</v>
      </c>
      <c r="E13" s="16" t="n">
        <v>560</v>
      </c>
      <c r="F13" s="14" t="s">
        <v>53</v>
      </c>
      <c r="G13" s="17" t="n">
        <f aca="false">IF(A13="","",IF(AND(C13=Summary!$B$4,D13&gt;=Summary!$B$3,D13&lt;=Summary!$B$5),E13,0))</f>
        <v>560</v>
      </c>
      <c r="H13" s="17" t="n">
        <f aca="false">IF(A13="","",IF(J13,0,-G13))</f>
        <v>0</v>
      </c>
      <c r="I13" s="18" t="b">
        <f aca="false">IF(A13="","",COUNTIF($A$5:$A$500,A13)&gt;1)</f>
        <v>0</v>
      </c>
      <c r="J13" s="18" t="b">
        <f aca="false">IF(A13="","",COUNTIF(Report_Data!$A$5:$A$500,A13)&gt;0)</f>
        <v>1</v>
      </c>
    </row>
    <row r="14" customFormat="false" ht="15" hidden="false" customHeight="false" outlineLevel="0" collapsed="false">
      <c r="A14" s="14" t="s">
        <v>76</v>
      </c>
      <c r="B14" s="14" t="s">
        <v>109</v>
      </c>
      <c r="C14" s="14" t="s">
        <v>17</v>
      </c>
      <c r="D14" s="15" t="n">
        <v>46252</v>
      </c>
      <c r="E14" s="16" t="n">
        <v>3015.2</v>
      </c>
      <c r="F14" s="14" t="s">
        <v>58</v>
      </c>
      <c r="G14" s="17" t="n">
        <f aca="false">IF(A14="","",IF(AND(C14=Summary!$B$4,D14&gt;=Summary!$B$3,D14&lt;=Summary!$B$5),E14,0))</f>
        <v>3015.2</v>
      </c>
      <c r="H14" s="17" t="n">
        <f aca="false">IF(A14="","",IF(J14,0,-G14))</f>
        <v>0</v>
      </c>
      <c r="I14" s="18" t="b">
        <f aca="false">IF(A14="","",COUNTIF($A$5:$A$500,A14)&gt;1)</f>
        <v>0</v>
      </c>
      <c r="J14" s="18" t="b">
        <f aca="false">IF(A14="","",COUNTIF(Report_Data!$A$5:$A$500,A14)&gt;0)</f>
        <v>1</v>
      </c>
    </row>
    <row r="15" customFormat="false" ht="15" hidden="false" customHeight="false" outlineLevel="0" collapsed="false">
      <c r="A15" s="14" t="s">
        <v>78</v>
      </c>
      <c r="B15" s="14" t="s">
        <v>109</v>
      </c>
      <c r="C15" s="14" t="s">
        <v>17</v>
      </c>
      <c r="D15" s="15" t="n">
        <v>46253</v>
      </c>
      <c r="E15" s="16" t="n">
        <v>1205</v>
      </c>
      <c r="F15" s="14" t="s">
        <v>58</v>
      </c>
      <c r="G15" s="17" t="n">
        <f aca="false">IF(A15="","",IF(AND(C15=Summary!$B$4,D15&gt;=Summary!$B$3,D15&lt;=Summary!$B$5),E15,0))</f>
        <v>1205</v>
      </c>
      <c r="H15" s="17" t="n">
        <f aca="false">IF(A15="","",IF(J15,0,-G15))</f>
        <v>0</v>
      </c>
      <c r="I15" s="18" t="b">
        <f aca="false">IF(A15="","",COUNTIF($A$5:$A$500,A15)&gt;1)</f>
        <v>0</v>
      </c>
      <c r="J15" s="18" t="b">
        <f aca="false">IF(A15="","",COUNTIF(Report_Data!$A$5:$A$500,A15)&gt;0)</f>
        <v>1</v>
      </c>
    </row>
    <row r="16" customFormat="false" ht="15" hidden="false" customHeight="false" outlineLevel="0" collapsed="false">
      <c r="A16" s="14" t="s">
        <v>80</v>
      </c>
      <c r="B16" s="14" t="s">
        <v>110</v>
      </c>
      <c r="C16" s="14" t="s">
        <v>17</v>
      </c>
      <c r="D16" s="15" t="n">
        <v>46254</v>
      </c>
      <c r="E16" s="16" t="n">
        <v>87.65</v>
      </c>
      <c r="F16" s="14" t="s">
        <v>63</v>
      </c>
      <c r="G16" s="17" t="n">
        <f aca="false">IF(A16="","",IF(AND(C16=Summary!$B$4,D16&gt;=Summary!$B$3,D16&lt;=Summary!$B$5),E16,0))</f>
        <v>87.65</v>
      </c>
      <c r="H16" s="17" t="n">
        <f aca="false">IF(A16="","",IF(J16,0,-G16))</f>
        <v>0</v>
      </c>
      <c r="I16" s="18" t="b">
        <f aca="false">IF(A16="","",COUNTIF($A$5:$A$500,A16)&gt;1)</f>
        <v>0</v>
      </c>
      <c r="J16" s="18" t="b">
        <f aca="false">IF(A16="","",COUNTIF(Report_Data!$A$5:$A$500,A16)&gt;0)</f>
        <v>1</v>
      </c>
    </row>
    <row r="17" customFormat="false" ht="15" hidden="false" customHeight="false" outlineLevel="0" collapsed="false">
      <c r="A17" s="14" t="s">
        <v>82</v>
      </c>
      <c r="B17" s="14" t="s">
        <v>111</v>
      </c>
      <c r="C17" s="14" t="s">
        <v>17</v>
      </c>
      <c r="D17" s="15" t="n">
        <v>46255</v>
      </c>
      <c r="E17" s="16" t="n">
        <v>2640</v>
      </c>
      <c r="F17" s="14" t="s">
        <v>68</v>
      </c>
      <c r="G17" s="17" t="n">
        <f aca="false">IF(A17="","",IF(AND(C17=Summary!$B$4,D17&gt;=Summary!$B$3,D17&lt;=Summary!$B$5),E17,0))</f>
        <v>2640</v>
      </c>
      <c r="H17" s="17" t="n">
        <f aca="false">IF(A17="","",IF(J17,0,-G17))</f>
        <v>0</v>
      </c>
      <c r="I17" s="18" t="b">
        <f aca="false">IF(A17="","",COUNTIF($A$5:$A$500,A17)&gt;1)</f>
        <v>0</v>
      </c>
      <c r="J17" s="18" t="b">
        <f aca="false">IF(A17="","",COUNTIF(Report_Data!$A$5:$A$500,A17)&gt;0)</f>
        <v>1</v>
      </c>
    </row>
    <row r="18" customFormat="false" ht="15" hidden="false" customHeight="false" outlineLevel="0" collapsed="false">
      <c r="A18" s="14" t="s">
        <v>84</v>
      </c>
      <c r="B18" s="14" t="s">
        <v>108</v>
      </c>
      <c r="C18" s="14" t="s">
        <v>112</v>
      </c>
      <c r="D18" s="15"/>
      <c r="E18" s="16" t="n">
        <v>715</v>
      </c>
      <c r="F18" s="14" t="s">
        <v>53</v>
      </c>
      <c r="G18" s="17" t="n">
        <f aca="false">IF(A18="","",IF(AND(C18=Summary!$B$4,D18&gt;=Summary!$B$3,D18&lt;=Summary!$B$5),E18,0))</f>
        <v>0</v>
      </c>
      <c r="H18" s="17" t="n">
        <f aca="false">IF(A18="","",IF(J18,0,-G18))</f>
        <v>0</v>
      </c>
      <c r="I18" s="18" t="b">
        <f aca="false">IF(A18="","",COUNTIF($A$5:$A$500,A18)&gt;1)</f>
        <v>0</v>
      </c>
      <c r="J18" s="18" t="b">
        <f aca="false">IF(A18="","",COUNTIF(Report_Data!$A$5:$A$500,A18)&gt;0)</f>
        <v>1</v>
      </c>
    </row>
    <row r="19" customFormat="false" ht="15" hidden="false" customHeight="false" outlineLevel="0" collapsed="false">
      <c r="A19" s="14" t="s">
        <v>86</v>
      </c>
      <c r="B19" s="14" t="s">
        <v>108</v>
      </c>
      <c r="C19" s="14" t="s">
        <v>17</v>
      </c>
      <c r="D19" s="15" t="n">
        <v>46259</v>
      </c>
      <c r="E19" s="16" t="n">
        <v>1980.3</v>
      </c>
      <c r="F19" s="14" t="s">
        <v>53</v>
      </c>
      <c r="G19" s="17" t="n">
        <f aca="false">IF(A19="","",IF(AND(C19=Summary!$B$4,D19&gt;=Summary!$B$3,D19&lt;=Summary!$B$5),E19,0))</f>
        <v>1980.3</v>
      </c>
      <c r="H19" s="17" t="n">
        <f aca="false">IF(A19="","",IF(J19,0,-G19))</f>
        <v>0</v>
      </c>
      <c r="I19" s="18" t="b">
        <f aca="false">IF(A19="","",COUNTIF($A$5:$A$500,A19)&gt;1)</f>
        <v>0</v>
      </c>
      <c r="J19" s="18" t="b">
        <f aca="false">IF(A19="","",COUNTIF(Report_Data!$A$5:$A$500,A19)&gt;0)</f>
        <v>1</v>
      </c>
    </row>
    <row r="20" customFormat="false" ht="15" hidden="false" customHeight="false" outlineLevel="0" collapsed="false">
      <c r="A20" s="14" t="s">
        <v>88</v>
      </c>
      <c r="B20" s="14" t="s">
        <v>109</v>
      </c>
      <c r="C20" s="14" t="s">
        <v>17</v>
      </c>
      <c r="D20" s="15" t="n">
        <v>46260</v>
      </c>
      <c r="E20" s="16" t="n">
        <v>455</v>
      </c>
      <c r="F20" s="14" t="s">
        <v>58</v>
      </c>
      <c r="G20" s="17" t="n">
        <f aca="false">IF(A20="","",IF(AND(C20=Summary!$B$4,D20&gt;=Summary!$B$3,D20&lt;=Summary!$B$5),E20,0))</f>
        <v>455</v>
      </c>
      <c r="H20" s="17" t="n">
        <f aca="false">IF(A20="","",IF(J20,0,-G20))</f>
        <v>0</v>
      </c>
      <c r="I20" s="18" t="b">
        <f aca="false">IF(A20="","",COUNTIF($A$5:$A$500,A20)&gt;1)</f>
        <v>0</v>
      </c>
      <c r="J20" s="18" t="b">
        <f aca="false">IF(A20="","",COUNTIF(Report_Data!$A$5:$A$500,A20)&gt;0)</f>
        <v>1</v>
      </c>
    </row>
    <row r="21" customFormat="false" ht="15" hidden="false" customHeight="false" outlineLevel="0" collapsed="false">
      <c r="A21" s="14" t="s">
        <v>90</v>
      </c>
      <c r="B21" s="14" t="s">
        <v>111</v>
      </c>
      <c r="C21" s="14" t="s">
        <v>17</v>
      </c>
      <c r="D21" s="15" t="n">
        <v>46266</v>
      </c>
      <c r="E21" s="16" t="n">
        <v>1320</v>
      </c>
      <c r="F21" s="14" t="s">
        <v>68</v>
      </c>
      <c r="G21" s="17" t="n">
        <f aca="false">IF(A21="","",IF(AND(C21=Summary!$B$4,D21&gt;=Summary!$B$3,D21&lt;=Summary!$B$5),E21,0))</f>
        <v>0</v>
      </c>
      <c r="H21" s="17" t="n">
        <f aca="false">IF(A21="","",IF(J21,0,-G21))</f>
        <v>0</v>
      </c>
      <c r="I21" s="18" t="b">
        <f aca="false">IF(A21="","",COUNTIF($A$5:$A$500,A21)&gt;1)</f>
        <v>0</v>
      </c>
      <c r="J21" s="18" t="b">
        <f aca="false">IF(A21="","",COUNTIF(Report_Data!$A$5:$A$500,A21)&gt;0)</f>
        <v>1</v>
      </c>
    </row>
    <row r="22" customFormat="false" ht="15" hidden="false" customHeight="false" outlineLevel="0" collapsed="false">
      <c r="A22" s="14" t="s">
        <v>92</v>
      </c>
      <c r="B22" s="14" t="s">
        <v>110</v>
      </c>
      <c r="C22" s="14" t="s">
        <v>17</v>
      </c>
      <c r="D22" s="15" t="n">
        <v>46262</v>
      </c>
      <c r="E22" s="16" t="n">
        <v>610.1</v>
      </c>
      <c r="F22" s="14" t="s">
        <v>63</v>
      </c>
      <c r="G22" s="17" t="n">
        <f aca="false">IF(A22="","",IF(AND(C22=Summary!$B$4,D22&gt;=Summary!$B$3,D22&lt;=Summary!$B$5),E22,0))</f>
        <v>610.1</v>
      </c>
      <c r="H22" s="17" t="n">
        <f aca="false">IF(A22="","",IF(J22,0,-G22))</f>
        <v>0</v>
      </c>
      <c r="I22" s="18" t="b">
        <f aca="false">IF(A22="","",COUNTIF($A$5:$A$500,A22)&gt;1)</f>
        <v>0</v>
      </c>
      <c r="J22" s="18" t="b">
        <f aca="false">IF(A22="","",COUNTIF(Report_Data!$A$5:$A$500,A22)&gt;0)</f>
        <v>1</v>
      </c>
    </row>
    <row r="23" customFormat="false" ht="15" hidden="false" customHeight="false" outlineLevel="0" collapsed="false">
      <c r="A23" s="14" t="s">
        <v>94</v>
      </c>
      <c r="B23" s="14" t="s">
        <v>111</v>
      </c>
      <c r="C23" s="14" t="s">
        <v>17</v>
      </c>
      <c r="D23" s="15" t="n">
        <v>46263</v>
      </c>
      <c r="E23" s="16" t="n">
        <v>2095</v>
      </c>
      <c r="F23" s="14" t="s">
        <v>68</v>
      </c>
      <c r="G23" s="17" t="n">
        <f aca="false">IF(A23="","",IF(AND(C23=Summary!$B$4,D23&gt;=Summary!$B$3,D23&lt;=Summary!$B$5),E23,0))</f>
        <v>2095</v>
      </c>
      <c r="H23" s="17" t="n">
        <f aca="false">IF(A23="","",IF(J23,0,-G23))</f>
        <v>0</v>
      </c>
      <c r="I23" s="18" t="b">
        <f aca="false">IF(A23="","",COUNTIF($A$5:$A$500,A23)&gt;1)</f>
        <v>1</v>
      </c>
      <c r="J23" s="18" t="b">
        <f aca="false">IF(A23="","",COUNTIF(Report_Data!$A$5:$A$500,A23)&gt;0)</f>
        <v>1</v>
      </c>
    </row>
    <row r="24" customFormat="false" ht="15" hidden="false" customHeight="false" outlineLevel="0" collapsed="false">
      <c r="A24" s="14" t="s">
        <v>94</v>
      </c>
      <c r="B24" s="14" t="s">
        <v>111</v>
      </c>
      <c r="C24" s="14" t="s">
        <v>17</v>
      </c>
      <c r="D24" s="15" t="n">
        <v>46263</v>
      </c>
      <c r="E24" s="16" t="n">
        <v>2095</v>
      </c>
      <c r="F24" s="14" t="s">
        <v>68</v>
      </c>
      <c r="G24" s="17" t="n">
        <f aca="false">IF(A24="","",IF(AND(C24=Summary!$B$4,D24&gt;=Summary!$B$3,D24&lt;=Summary!$B$5),E24,0))</f>
        <v>2095</v>
      </c>
      <c r="H24" s="17" t="n">
        <f aca="false">IF(A24="","",IF(J24,0,-G24))</f>
        <v>0</v>
      </c>
      <c r="I24" s="18" t="b">
        <f aca="false">IF(A24="","",COUNTIF($A$5:$A$500,A24)&gt;1)</f>
        <v>1</v>
      </c>
      <c r="J24" s="18" t="b">
        <f aca="false">IF(A24="","",COUNTIF(Report_Data!$A$5:$A$500,A24)&gt;0)</f>
        <v>1</v>
      </c>
    </row>
    <row r="25" customFormat="false" ht="15" hidden="false" customHeight="false" outlineLevel="0" collapsed="false">
      <c r="A25" s="14" t="s">
        <v>98</v>
      </c>
      <c r="B25" s="14" t="s">
        <v>109</v>
      </c>
      <c r="C25" s="14" t="s">
        <v>17</v>
      </c>
      <c r="D25" s="15" t="n">
        <v>46261</v>
      </c>
      <c r="E25" s="16" t="n">
        <v>275.25</v>
      </c>
      <c r="F25" s="14" t="s">
        <v>58</v>
      </c>
      <c r="G25" s="17" t="n">
        <f aca="false">IF(A25="","",IF(AND(C25=Summary!$B$4,D25&gt;=Summary!$B$3,D25&lt;=Summary!$B$5),E25,0))</f>
        <v>275.25</v>
      </c>
      <c r="H25" s="17" t="n">
        <f aca="false">IF(A25="","",IF(J25,0,-G25))</f>
        <v>0</v>
      </c>
      <c r="I25" s="18" t="b">
        <f aca="false">IF(A25="","",COUNTIF($A$5:$A$500,A25)&gt;1)</f>
        <v>0</v>
      </c>
      <c r="J25" s="18" t="b">
        <f aca="false">IF(A25="","",COUNTIF(Report_Data!$A$5:$A$500,A25)&gt;0)</f>
        <v>1</v>
      </c>
    </row>
    <row r="26" customFormat="false" ht="15" hidden="false" customHeight="false" outlineLevel="0" collapsed="false">
      <c r="A26" s="14" t="s">
        <v>113</v>
      </c>
      <c r="B26" s="14" t="s">
        <v>108</v>
      </c>
      <c r="C26" s="14" t="s">
        <v>17</v>
      </c>
      <c r="D26" s="15" t="n">
        <v>46249</v>
      </c>
      <c r="E26" s="16" t="n">
        <v>300</v>
      </c>
      <c r="F26" s="14" t="s">
        <v>53</v>
      </c>
      <c r="G26" s="17" t="n">
        <f aca="false">IF(A26="","",IF(AND(C26=Summary!$B$4,D26&gt;=Summary!$B$3,D26&lt;=Summary!$B$5),E26,0))</f>
        <v>300</v>
      </c>
      <c r="H26" s="17" t="n">
        <f aca="false">IF(A26="","",IF(J26,0,-G26))</f>
        <v>-300</v>
      </c>
      <c r="I26" s="18" t="b">
        <f aca="false">IF(A26="","",COUNTIF($A$5:$A$500,A26)&gt;1)</f>
        <v>0</v>
      </c>
      <c r="J26" s="18" t="b">
        <f aca="false">IF(A26="","",COUNTIF(Report_Data!$A$5:$A$500,A26)&gt;0)</f>
        <v>0</v>
      </c>
    </row>
    <row r="27" customFormat="false" ht="15" hidden="false" customHeight="false" outlineLevel="0" collapsed="false">
      <c r="G27" s="17" t="str">
        <f aca="false">IF(A27="","",IF(AND(C27=Summary!$B$4,D27&gt;=Summary!$B$3,D27&lt;=Summary!$B$5),E27,0))</f>
        <v/>
      </c>
      <c r="H27" s="17" t="str">
        <f aca="false">IF(A27="","",IF(J27,0,-G27))</f>
        <v/>
      </c>
      <c r="I27" s="3" t="str">
        <f aca="false">IF(A27="","",COUNTIF($A$5:$A$500,A27)&gt;1)</f>
        <v/>
      </c>
      <c r="J27" s="3" t="str">
        <f aca="false">IF(A27="","",COUNTIF(Report_Data!$A$5:$A$500,A27)&gt;0)</f>
        <v/>
      </c>
    </row>
    <row r="28" customFormat="false" ht="15" hidden="false" customHeight="false" outlineLevel="0" collapsed="false">
      <c r="G28" s="17" t="str">
        <f aca="false">IF(A28="","",IF(AND(C28=Summary!$B$4,D28&gt;=Summary!$B$3,D28&lt;=Summary!$B$5),E28,0))</f>
        <v/>
      </c>
      <c r="H28" s="17" t="str">
        <f aca="false">IF(A28="","",IF(J28,0,-G28))</f>
        <v/>
      </c>
      <c r="I28" s="3" t="str">
        <f aca="false">IF(A28="","",COUNTIF($A$5:$A$500,A28)&gt;1)</f>
        <v/>
      </c>
      <c r="J28" s="3" t="str">
        <f aca="false">IF(A28="","",COUNTIF(Report_Data!$A$5:$A$500,A28)&gt;0)</f>
        <v/>
      </c>
    </row>
    <row r="29" customFormat="false" ht="15" hidden="false" customHeight="false" outlineLevel="0" collapsed="false">
      <c r="G29" s="17" t="str">
        <f aca="false">IF(A29="","",IF(AND(C29=Summary!$B$4,D29&gt;=Summary!$B$3,D29&lt;=Summary!$B$5),E29,0))</f>
        <v/>
      </c>
      <c r="H29" s="17" t="str">
        <f aca="false">IF(A29="","",IF(J29,0,-G29))</f>
        <v/>
      </c>
      <c r="I29" s="3" t="str">
        <f aca="false">IF(A29="","",COUNTIF($A$5:$A$500,A29)&gt;1)</f>
        <v/>
      </c>
      <c r="J29" s="3" t="str">
        <f aca="false">IF(A29="","",COUNTIF(Report_Data!$A$5:$A$500,A29)&gt;0)</f>
        <v/>
      </c>
    </row>
    <row r="30" customFormat="false" ht="15" hidden="false" customHeight="false" outlineLevel="0" collapsed="false">
      <c r="G30" s="17" t="str">
        <f aca="false">IF(A30="","",IF(AND(C30=Summary!$B$4,D30&gt;=Summary!$B$3,D30&lt;=Summary!$B$5),E30,0))</f>
        <v/>
      </c>
      <c r="H30" s="17" t="str">
        <f aca="false">IF(A30="","",IF(J30,0,-G30))</f>
        <v/>
      </c>
      <c r="I30" s="3" t="str">
        <f aca="false">IF(A30="","",COUNTIF($A$5:$A$500,A30)&gt;1)</f>
        <v/>
      </c>
      <c r="J30" s="3" t="str">
        <f aca="false">IF(A30="","",COUNTIF(Report_Data!$A$5:$A$500,A30)&gt;0)</f>
        <v/>
      </c>
    </row>
    <row r="31" customFormat="false" ht="15" hidden="false" customHeight="false" outlineLevel="0" collapsed="false">
      <c r="G31" s="17" t="str">
        <f aca="false">IF(A31="","",IF(AND(C31=Summary!$B$4,D31&gt;=Summary!$B$3,D31&lt;=Summary!$B$5),E31,0))</f>
        <v/>
      </c>
      <c r="H31" s="17" t="str">
        <f aca="false">IF(A31="","",IF(J31,0,-G31))</f>
        <v/>
      </c>
      <c r="I31" s="3" t="str">
        <f aca="false">IF(A31="","",COUNTIF($A$5:$A$500,A31)&gt;1)</f>
        <v/>
      </c>
      <c r="J31" s="3" t="str">
        <f aca="false">IF(A31="","",COUNTIF(Report_Data!$A$5:$A$500,A31)&gt;0)</f>
        <v/>
      </c>
    </row>
    <row r="32" customFormat="false" ht="15" hidden="false" customHeight="false" outlineLevel="0" collapsed="false">
      <c r="G32" s="17" t="str">
        <f aca="false">IF(A32="","",IF(AND(C32=Summary!$B$4,D32&gt;=Summary!$B$3,D32&lt;=Summary!$B$5),E32,0))</f>
        <v/>
      </c>
      <c r="H32" s="17" t="str">
        <f aca="false">IF(A32="","",IF(J32,0,-G32))</f>
        <v/>
      </c>
      <c r="I32" s="3" t="str">
        <f aca="false">IF(A32="","",COUNTIF($A$5:$A$500,A32)&gt;1)</f>
        <v/>
      </c>
      <c r="J32" s="3" t="str">
        <f aca="false">IF(A32="","",COUNTIF(Report_Data!$A$5:$A$500,A32)&gt;0)</f>
        <v/>
      </c>
    </row>
    <row r="33" customFormat="false" ht="15" hidden="false" customHeight="false" outlineLevel="0" collapsed="false">
      <c r="G33" s="17" t="str">
        <f aca="false">IF(A33="","",IF(AND(C33=Summary!$B$4,D33&gt;=Summary!$B$3,D33&lt;=Summary!$B$5),E33,0))</f>
        <v/>
      </c>
      <c r="H33" s="17" t="str">
        <f aca="false">IF(A33="","",IF(J33,0,-G33))</f>
        <v/>
      </c>
      <c r="I33" s="3" t="str">
        <f aca="false">IF(A33="","",COUNTIF($A$5:$A$500,A33)&gt;1)</f>
        <v/>
      </c>
      <c r="J33" s="3" t="str">
        <f aca="false">IF(A33="","",COUNTIF(Report_Data!$A$5:$A$500,A33)&gt;0)</f>
        <v/>
      </c>
    </row>
    <row r="34" customFormat="false" ht="15" hidden="false" customHeight="false" outlineLevel="0" collapsed="false">
      <c r="G34" s="17" t="str">
        <f aca="false">IF(A34="","",IF(AND(C34=Summary!$B$4,D34&gt;=Summary!$B$3,D34&lt;=Summary!$B$5),E34,0))</f>
        <v/>
      </c>
      <c r="H34" s="17" t="str">
        <f aca="false">IF(A34="","",IF(J34,0,-G34))</f>
        <v/>
      </c>
      <c r="I34" s="3" t="str">
        <f aca="false">IF(A34="","",COUNTIF($A$5:$A$500,A34)&gt;1)</f>
        <v/>
      </c>
      <c r="J34" s="3" t="str">
        <f aca="false">IF(A34="","",COUNTIF(Report_Data!$A$5:$A$500,A34)&gt;0)</f>
        <v/>
      </c>
    </row>
    <row r="35" customFormat="false" ht="15" hidden="false" customHeight="false" outlineLevel="0" collapsed="false">
      <c r="G35" s="17" t="str">
        <f aca="false">IF(A35="","",IF(AND(C35=Summary!$B$4,D35&gt;=Summary!$B$3,D35&lt;=Summary!$B$5),E35,0))</f>
        <v/>
      </c>
      <c r="H35" s="17" t="str">
        <f aca="false">IF(A35="","",IF(J35,0,-G35))</f>
        <v/>
      </c>
      <c r="I35" s="3" t="str">
        <f aca="false">IF(A35="","",COUNTIF($A$5:$A$500,A35)&gt;1)</f>
        <v/>
      </c>
      <c r="J35" s="3" t="str">
        <f aca="false">IF(A35="","",COUNTIF(Report_Data!$A$5:$A$500,A35)&gt;0)</f>
        <v/>
      </c>
    </row>
    <row r="36" customFormat="false" ht="15" hidden="false" customHeight="false" outlineLevel="0" collapsed="false">
      <c r="G36" s="17" t="str">
        <f aca="false">IF(A36="","",IF(AND(C36=Summary!$B$4,D36&gt;=Summary!$B$3,D36&lt;=Summary!$B$5),E36,0))</f>
        <v/>
      </c>
      <c r="H36" s="17" t="str">
        <f aca="false">IF(A36="","",IF(J36,0,-G36))</f>
        <v/>
      </c>
      <c r="I36" s="3" t="str">
        <f aca="false">IF(A36="","",COUNTIF($A$5:$A$500,A36)&gt;1)</f>
        <v/>
      </c>
      <c r="J36" s="3" t="str">
        <f aca="false">IF(A36="","",COUNTIF(Report_Data!$A$5:$A$500,A36)&gt;0)</f>
        <v/>
      </c>
    </row>
    <row r="37" customFormat="false" ht="15" hidden="false" customHeight="false" outlineLevel="0" collapsed="false">
      <c r="G37" s="17" t="str">
        <f aca="false">IF(A37="","",IF(AND(C37=Summary!$B$4,D37&gt;=Summary!$B$3,D37&lt;=Summary!$B$5),E37,0))</f>
        <v/>
      </c>
      <c r="H37" s="17" t="str">
        <f aca="false">IF(A37="","",IF(J37,0,-G37))</f>
        <v/>
      </c>
      <c r="I37" s="3" t="str">
        <f aca="false">IF(A37="","",COUNTIF($A$5:$A$500,A37)&gt;1)</f>
        <v/>
      </c>
      <c r="J37" s="3" t="str">
        <f aca="false">IF(A37="","",COUNTIF(Report_Data!$A$5:$A$500,A37)&gt;0)</f>
        <v/>
      </c>
    </row>
    <row r="38" customFormat="false" ht="15" hidden="false" customHeight="false" outlineLevel="0" collapsed="false">
      <c r="G38" s="17" t="str">
        <f aca="false">IF(A38="","",IF(AND(C38=Summary!$B$4,D38&gt;=Summary!$B$3,D38&lt;=Summary!$B$5),E38,0))</f>
        <v/>
      </c>
      <c r="H38" s="17" t="str">
        <f aca="false">IF(A38="","",IF(J38,0,-G38))</f>
        <v/>
      </c>
      <c r="I38" s="3" t="str">
        <f aca="false">IF(A38="","",COUNTIF($A$5:$A$500,A38)&gt;1)</f>
        <v/>
      </c>
      <c r="J38" s="3" t="str">
        <f aca="false">IF(A38="","",COUNTIF(Report_Data!$A$5:$A$500,A38)&gt;0)</f>
        <v/>
      </c>
    </row>
    <row r="39" customFormat="false" ht="15" hidden="false" customHeight="false" outlineLevel="0" collapsed="false">
      <c r="G39" s="17" t="str">
        <f aca="false">IF(A39="","",IF(AND(C39=Summary!$B$4,D39&gt;=Summary!$B$3,D39&lt;=Summary!$B$5),E39,0))</f>
        <v/>
      </c>
      <c r="H39" s="17" t="str">
        <f aca="false">IF(A39="","",IF(J39,0,-G39))</f>
        <v/>
      </c>
      <c r="I39" s="3" t="str">
        <f aca="false">IF(A39="","",COUNTIF($A$5:$A$500,A39)&gt;1)</f>
        <v/>
      </c>
      <c r="J39" s="3" t="str">
        <f aca="false">IF(A39="","",COUNTIF(Report_Data!$A$5:$A$500,A39)&gt;0)</f>
        <v/>
      </c>
    </row>
    <row r="40" customFormat="false" ht="15" hidden="false" customHeight="false" outlineLevel="0" collapsed="false">
      <c r="G40" s="17" t="str">
        <f aca="false">IF(A40="","",IF(AND(C40=Summary!$B$4,D40&gt;=Summary!$B$3,D40&lt;=Summary!$B$5),E40,0))</f>
        <v/>
      </c>
      <c r="H40" s="17" t="str">
        <f aca="false">IF(A40="","",IF(J40,0,-G40))</f>
        <v/>
      </c>
      <c r="I40" s="3" t="str">
        <f aca="false">IF(A40="","",COUNTIF($A$5:$A$500,A40)&gt;1)</f>
        <v/>
      </c>
      <c r="J40" s="3" t="str">
        <f aca="false">IF(A40="","",COUNTIF(Report_Data!$A$5:$A$500,A40)&gt;0)</f>
        <v/>
      </c>
    </row>
    <row r="41" customFormat="false" ht="15" hidden="false" customHeight="false" outlineLevel="0" collapsed="false">
      <c r="G41" s="17" t="str">
        <f aca="false">IF(A41="","",IF(AND(C41=Summary!$B$4,D41&gt;=Summary!$B$3,D41&lt;=Summary!$B$5),E41,0))</f>
        <v/>
      </c>
      <c r="H41" s="17" t="str">
        <f aca="false">IF(A41="","",IF(J41,0,-G41))</f>
        <v/>
      </c>
      <c r="I41" s="3" t="str">
        <f aca="false">IF(A41="","",COUNTIF($A$5:$A$500,A41)&gt;1)</f>
        <v/>
      </c>
      <c r="J41" s="3" t="str">
        <f aca="false">IF(A41="","",COUNTIF(Report_Data!$A$5:$A$500,A41)&gt;0)</f>
        <v/>
      </c>
    </row>
    <row r="42" customFormat="false" ht="15" hidden="false" customHeight="false" outlineLevel="0" collapsed="false">
      <c r="G42" s="17" t="str">
        <f aca="false">IF(A42="","",IF(AND(C42=Summary!$B$4,D42&gt;=Summary!$B$3,D42&lt;=Summary!$B$5),E42,0))</f>
        <v/>
      </c>
      <c r="H42" s="17" t="str">
        <f aca="false">IF(A42="","",IF(J42,0,-G42))</f>
        <v/>
      </c>
      <c r="I42" s="3" t="str">
        <f aca="false">IF(A42="","",COUNTIF($A$5:$A$500,A42)&gt;1)</f>
        <v/>
      </c>
      <c r="J42" s="3" t="str">
        <f aca="false">IF(A42="","",COUNTIF(Report_Data!$A$5:$A$500,A42)&gt;0)</f>
        <v/>
      </c>
    </row>
    <row r="43" customFormat="false" ht="15" hidden="false" customHeight="false" outlineLevel="0" collapsed="false">
      <c r="G43" s="17" t="str">
        <f aca="false">IF(A43="","",IF(AND(C43=Summary!$B$4,D43&gt;=Summary!$B$3,D43&lt;=Summary!$B$5),E43,0))</f>
        <v/>
      </c>
      <c r="H43" s="17" t="str">
        <f aca="false">IF(A43="","",IF(J43,0,-G43))</f>
        <v/>
      </c>
      <c r="I43" s="3" t="str">
        <f aca="false">IF(A43="","",COUNTIF($A$5:$A$500,A43)&gt;1)</f>
        <v/>
      </c>
      <c r="J43" s="3" t="str">
        <f aca="false">IF(A43="","",COUNTIF(Report_Data!$A$5:$A$500,A43)&gt;0)</f>
        <v/>
      </c>
    </row>
    <row r="44" customFormat="false" ht="15" hidden="false" customHeight="false" outlineLevel="0" collapsed="false">
      <c r="G44" s="17" t="str">
        <f aca="false">IF(A44="","",IF(AND(C44=Summary!$B$4,D44&gt;=Summary!$B$3,D44&lt;=Summary!$B$5),E44,0))</f>
        <v/>
      </c>
      <c r="H44" s="17" t="str">
        <f aca="false">IF(A44="","",IF(J44,0,-G44))</f>
        <v/>
      </c>
      <c r="I44" s="3" t="str">
        <f aca="false">IF(A44="","",COUNTIF($A$5:$A$500,A44)&gt;1)</f>
        <v/>
      </c>
      <c r="J44" s="3" t="str">
        <f aca="false">IF(A44="","",COUNTIF(Report_Data!$A$5:$A$500,A44)&gt;0)</f>
        <v/>
      </c>
    </row>
    <row r="45" customFormat="false" ht="15" hidden="false" customHeight="false" outlineLevel="0" collapsed="false">
      <c r="G45" s="17" t="str">
        <f aca="false">IF(A45="","",IF(AND(C45=Summary!$B$4,D45&gt;=Summary!$B$3,D45&lt;=Summary!$B$5),E45,0))</f>
        <v/>
      </c>
      <c r="H45" s="17" t="str">
        <f aca="false">IF(A45="","",IF(J45,0,-G45))</f>
        <v/>
      </c>
      <c r="I45" s="3" t="str">
        <f aca="false">IF(A45="","",COUNTIF($A$5:$A$500,A45)&gt;1)</f>
        <v/>
      </c>
      <c r="J45" s="3" t="str">
        <f aca="false">IF(A45="","",COUNTIF(Report_Data!$A$5:$A$500,A45)&gt;0)</f>
        <v/>
      </c>
    </row>
    <row r="46" customFormat="false" ht="15" hidden="false" customHeight="false" outlineLevel="0" collapsed="false">
      <c r="G46" s="17" t="str">
        <f aca="false">IF(A46="","",IF(AND(C46=Summary!$B$4,D46&gt;=Summary!$B$3,D46&lt;=Summary!$B$5),E46,0))</f>
        <v/>
      </c>
      <c r="H46" s="17" t="str">
        <f aca="false">IF(A46="","",IF(J46,0,-G46))</f>
        <v/>
      </c>
      <c r="I46" s="3" t="str">
        <f aca="false">IF(A46="","",COUNTIF($A$5:$A$500,A46)&gt;1)</f>
        <v/>
      </c>
      <c r="J46" s="3" t="str">
        <f aca="false">IF(A46="","",COUNTIF(Report_Data!$A$5:$A$500,A46)&gt;0)</f>
        <v/>
      </c>
    </row>
    <row r="47" customFormat="false" ht="15" hidden="false" customHeight="false" outlineLevel="0" collapsed="false">
      <c r="G47" s="17" t="str">
        <f aca="false">IF(A47="","",IF(AND(C47=Summary!$B$4,D47&gt;=Summary!$B$3,D47&lt;=Summary!$B$5),E47,0))</f>
        <v/>
      </c>
      <c r="H47" s="17" t="str">
        <f aca="false">IF(A47="","",IF(J47,0,-G47))</f>
        <v/>
      </c>
      <c r="I47" s="3" t="str">
        <f aca="false">IF(A47="","",COUNTIF($A$5:$A$500,A47)&gt;1)</f>
        <v/>
      </c>
      <c r="J47" s="3" t="str">
        <f aca="false">IF(A47="","",COUNTIF(Report_Data!$A$5:$A$500,A47)&gt;0)</f>
        <v/>
      </c>
    </row>
    <row r="48" customFormat="false" ht="15" hidden="false" customHeight="false" outlineLevel="0" collapsed="false">
      <c r="G48" s="17" t="str">
        <f aca="false">IF(A48="","",IF(AND(C48=Summary!$B$4,D48&gt;=Summary!$B$3,D48&lt;=Summary!$B$5),E48,0))</f>
        <v/>
      </c>
      <c r="H48" s="17" t="str">
        <f aca="false">IF(A48="","",IF(J48,0,-G48))</f>
        <v/>
      </c>
      <c r="I48" s="3" t="str">
        <f aca="false">IF(A48="","",COUNTIF($A$5:$A$500,A48)&gt;1)</f>
        <v/>
      </c>
      <c r="J48" s="3" t="str">
        <f aca="false">IF(A48="","",COUNTIF(Report_Data!$A$5:$A$500,A48)&gt;0)</f>
        <v/>
      </c>
    </row>
    <row r="49" customFormat="false" ht="15" hidden="false" customHeight="false" outlineLevel="0" collapsed="false">
      <c r="G49" s="17" t="str">
        <f aca="false">IF(A49="","",IF(AND(C49=Summary!$B$4,D49&gt;=Summary!$B$3,D49&lt;=Summary!$B$5),E49,0))</f>
        <v/>
      </c>
      <c r="H49" s="17" t="str">
        <f aca="false">IF(A49="","",IF(J49,0,-G49))</f>
        <v/>
      </c>
      <c r="I49" s="3" t="str">
        <f aca="false">IF(A49="","",COUNTIF($A$5:$A$500,A49)&gt;1)</f>
        <v/>
      </c>
      <c r="J49" s="3" t="str">
        <f aca="false">IF(A49="","",COUNTIF(Report_Data!$A$5:$A$500,A49)&gt;0)</f>
        <v/>
      </c>
    </row>
    <row r="50" customFormat="false" ht="15" hidden="false" customHeight="false" outlineLevel="0" collapsed="false">
      <c r="G50" s="17" t="str">
        <f aca="false">IF(A50="","",IF(AND(C50=Summary!$B$4,D50&gt;=Summary!$B$3,D50&lt;=Summary!$B$5),E50,0))</f>
        <v/>
      </c>
      <c r="H50" s="17" t="str">
        <f aca="false">IF(A50="","",IF(J50,0,-G50))</f>
        <v/>
      </c>
      <c r="I50" s="3" t="str">
        <f aca="false">IF(A50="","",COUNTIF($A$5:$A$500,A50)&gt;1)</f>
        <v/>
      </c>
      <c r="J50" s="3" t="str">
        <f aca="false">IF(A50="","",COUNTIF(Report_Data!$A$5:$A$500,A50)&gt;0)</f>
        <v/>
      </c>
    </row>
    <row r="51" customFormat="false" ht="15" hidden="false" customHeight="false" outlineLevel="0" collapsed="false">
      <c r="G51" s="17" t="str">
        <f aca="false">IF(A51="","",IF(AND(C51=Summary!$B$4,D51&gt;=Summary!$B$3,D51&lt;=Summary!$B$5),E51,0))</f>
        <v/>
      </c>
      <c r="H51" s="17" t="str">
        <f aca="false">IF(A51="","",IF(J51,0,-G51))</f>
        <v/>
      </c>
      <c r="I51" s="3" t="str">
        <f aca="false">IF(A51="","",COUNTIF($A$5:$A$500,A51)&gt;1)</f>
        <v/>
      </c>
      <c r="J51" s="3" t="str">
        <f aca="false">IF(A51="","",COUNTIF(Report_Data!$A$5:$A$500,A51)&gt;0)</f>
        <v/>
      </c>
    </row>
    <row r="52" customFormat="false" ht="15" hidden="false" customHeight="false" outlineLevel="0" collapsed="false">
      <c r="G52" s="17" t="str">
        <f aca="false">IF(A52="","",IF(AND(C52=Summary!$B$4,D52&gt;=Summary!$B$3,D52&lt;=Summary!$B$5),E52,0))</f>
        <v/>
      </c>
      <c r="H52" s="17" t="str">
        <f aca="false">IF(A52="","",IF(J52,0,-G52))</f>
        <v/>
      </c>
      <c r="I52" s="3" t="str">
        <f aca="false">IF(A52="","",COUNTIF($A$5:$A$500,A52)&gt;1)</f>
        <v/>
      </c>
      <c r="J52" s="3" t="str">
        <f aca="false">IF(A52="","",COUNTIF(Report_Data!$A$5:$A$500,A52)&gt;0)</f>
        <v/>
      </c>
    </row>
    <row r="53" customFormat="false" ht="15" hidden="false" customHeight="false" outlineLevel="0" collapsed="false">
      <c r="G53" s="17" t="str">
        <f aca="false">IF(A53="","",IF(AND(C53=Summary!$B$4,D53&gt;=Summary!$B$3,D53&lt;=Summary!$B$5),E53,0))</f>
        <v/>
      </c>
      <c r="H53" s="17" t="str">
        <f aca="false">IF(A53="","",IF(J53,0,-G53))</f>
        <v/>
      </c>
      <c r="I53" s="3" t="str">
        <f aca="false">IF(A53="","",COUNTIF($A$5:$A$500,A53)&gt;1)</f>
        <v/>
      </c>
      <c r="J53" s="3" t="str">
        <f aca="false">IF(A53="","",COUNTIF(Report_Data!$A$5:$A$500,A53)&gt;0)</f>
        <v/>
      </c>
    </row>
    <row r="54" customFormat="false" ht="15" hidden="false" customHeight="false" outlineLevel="0" collapsed="false">
      <c r="G54" s="17" t="str">
        <f aca="false">IF(A54="","",IF(AND(C54=Summary!$B$4,D54&gt;=Summary!$B$3,D54&lt;=Summary!$B$5),E54,0))</f>
        <v/>
      </c>
      <c r="H54" s="17" t="str">
        <f aca="false">IF(A54="","",IF(J54,0,-G54))</f>
        <v/>
      </c>
      <c r="I54" s="3" t="str">
        <f aca="false">IF(A54="","",COUNTIF($A$5:$A$500,A54)&gt;1)</f>
        <v/>
      </c>
      <c r="J54" s="3" t="str">
        <f aca="false">IF(A54="","",COUNTIF(Report_Data!$A$5:$A$500,A54)&gt;0)</f>
        <v/>
      </c>
    </row>
    <row r="55" customFormat="false" ht="15" hidden="false" customHeight="false" outlineLevel="0" collapsed="false">
      <c r="G55" s="17" t="str">
        <f aca="false">IF(A55="","",IF(AND(C55=Summary!$B$4,D55&gt;=Summary!$B$3,D55&lt;=Summary!$B$5),E55,0))</f>
        <v/>
      </c>
      <c r="H55" s="17" t="str">
        <f aca="false">IF(A55="","",IF(J55,0,-G55))</f>
        <v/>
      </c>
      <c r="I55" s="3" t="str">
        <f aca="false">IF(A55="","",COUNTIF($A$5:$A$500,A55)&gt;1)</f>
        <v/>
      </c>
      <c r="J55" s="3" t="str">
        <f aca="false">IF(A55="","",COUNTIF(Report_Data!$A$5:$A$500,A55)&gt;0)</f>
        <v/>
      </c>
    </row>
    <row r="56" customFormat="false" ht="15" hidden="false" customHeight="false" outlineLevel="0" collapsed="false">
      <c r="G56" s="17" t="str">
        <f aca="false">IF(A56="","",IF(AND(C56=Summary!$B$4,D56&gt;=Summary!$B$3,D56&lt;=Summary!$B$5),E56,0))</f>
        <v/>
      </c>
      <c r="H56" s="17" t="str">
        <f aca="false">IF(A56="","",IF(J56,0,-G56))</f>
        <v/>
      </c>
      <c r="I56" s="3" t="str">
        <f aca="false">IF(A56="","",COUNTIF($A$5:$A$500,A56)&gt;1)</f>
        <v/>
      </c>
      <c r="J56" s="3" t="str">
        <f aca="false">IF(A56="","",COUNTIF(Report_Data!$A$5:$A$500,A56)&gt;0)</f>
        <v/>
      </c>
    </row>
    <row r="57" customFormat="false" ht="15" hidden="false" customHeight="false" outlineLevel="0" collapsed="false">
      <c r="G57" s="17" t="str">
        <f aca="false">IF(A57="","",IF(AND(C57=Summary!$B$4,D57&gt;=Summary!$B$3,D57&lt;=Summary!$B$5),E57,0))</f>
        <v/>
      </c>
      <c r="H57" s="17" t="str">
        <f aca="false">IF(A57="","",IF(J57,0,-G57))</f>
        <v/>
      </c>
      <c r="I57" s="3" t="str">
        <f aca="false">IF(A57="","",COUNTIF($A$5:$A$500,A57)&gt;1)</f>
        <v/>
      </c>
      <c r="J57" s="3" t="str">
        <f aca="false">IF(A57="","",COUNTIF(Report_Data!$A$5:$A$500,A57)&gt;0)</f>
        <v/>
      </c>
    </row>
    <row r="58" customFormat="false" ht="15" hidden="false" customHeight="false" outlineLevel="0" collapsed="false">
      <c r="G58" s="17" t="str">
        <f aca="false">IF(A58="","",IF(AND(C58=Summary!$B$4,D58&gt;=Summary!$B$3,D58&lt;=Summary!$B$5),E58,0))</f>
        <v/>
      </c>
      <c r="H58" s="17" t="str">
        <f aca="false">IF(A58="","",IF(J58,0,-G58))</f>
        <v/>
      </c>
      <c r="I58" s="3" t="str">
        <f aca="false">IF(A58="","",COUNTIF($A$5:$A$500,A58)&gt;1)</f>
        <v/>
      </c>
      <c r="J58" s="3" t="str">
        <f aca="false">IF(A58="","",COUNTIF(Report_Data!$A$5:$A$500,A58)&gt;0)</f>
        <v/>
      </c>
    </row>
    <row r="59" customFormat="false" ht="15" hidden="false" customHeight="false" outlineLevel="0" collapsed="false">
      <c r="G59" s="17" t="str">
        <f aca="false">IF(A59="","",IF(AND(C59=Summary!$B$4,D59&gt;=Summary!$B$3,D59&lt;=Summary!$B$5),E59,0))</f>
        <v/>
      </c>
      <c r="H59" s="17" t="str">
        <f aca="false">IF(A59="","",IF(J59,0,-G59))</f>
        <v/>
      </c>
      <c r="I59" s="3" t="str">
        <f aca="false">IF(A59="","",COUNTIF($A$5:$A$500,A59)&gt;1)</f>
        <v/>
      </c>
      <c r="J59" s="3" t="str">
        <f aca="false">IF(A59="","",COUNTIF(Report_Data!$A$5:$A$500,A59)&gt;0)</f>
        <v/>
      </c>
    </row>
    <row r="60" customFormat="false" ht="15" hidden="false" customHeight="false" outlineLevel="0" collapsed="false">
      <c r="G60" s="17" t="str">
        <f aca="false">IF(A60="","",IF(AND(C60=Summary!$B$4,D60&gt;=Summary!$B$3,D60&lt;=Summary!$B$5),E60,0))</f>
        <v/>
      </c>
      <c r="H60" s="17" t="str">
        <f aca="false">IF(A60="","",IF(J60,0,-G60))</f>
        <v/>
      </c>
      <c r="I60" s="3" t="str">
        <f aca="false">IF(A60="","",COUNTIF($A$5:$A$500,A60)&gt;1)</f>
        <v/>
      </c>
      <c r="J60" s="3" t="str">
        <f aca="false">IF(A60="","",COUNTIF(Report_Data!$A$5:$A$500,A60)&gt;0)</f>
        <v/>
      </c>
    </row>
    <row r="61" customFormat="false" ht="15" hidden="false" customHeight="false" outlineLevel="0" collapsed="false">
      <c r="G61" s="17" t="str">
        <f aca="false">IF(A61="","",IF(AND(C61=Summary!$B$4,D61&gt;=Summary!$B$3,D61&lt;=Summary!$B$5),E61,0))</f>
        <v/>
      </c>
      <c r="H61" s="17" t="str">
        <f aca="false">IF(A61="","",IF(J61,0,-G61))</f>
        <v/>
      </c>
      <c r="I61" s="3" t="str">
        <f aca="false">IF(A61="","",COUNTIF($A$5:$A$500,A61)&gt;1)</f>
        <v/>
      </c>
      <c r="J61" s="3" t="str">
        <f aca="false">IF(A61="","",COUNTIF(Report_Data!$A$5:$A$500,A61)&gt;0)</f>
        <v/>
      </c>
    </row>
    <row r="62" customFormat="false" ht="15" hidden="false" customHeight="false" outlineLevel="0" collapsed="false">
      <c r="G62" s="17" t="str">
        <f aca="false">IF(A62="","",IF(AND(C62=Summary!$B$4,D62&gt;=Summary!$B$3,D62&lt;=Summary!$B$5),E62,0))</f>
        <v/>
      </c>
      <c r="H62" s="17" t="str">
        <f aca="false">IF(A62="","",IF(J62,0,-G62))</f>
        <v/>
      </c>
      <c r="I62" s="3" t="str">
        <f aca="false">IF(A62="","",COUNTIF($A$5:$A$500,A62)&gt;1)</f>
        <v/>
      </c>
      <c r="J62" s="3" t="str">
        <f aca="false">IF(A62="","",COUNTIF(Report_Data!$A$5:$A$500,A62)&gt;0)</f>
        <v/>
      </c>
    </row>
    <row r="63" customFormat="false" ht="15" hidden="false" customHeight="false" outlineLevel="0" collapsed="false">
      <c r="G63" s="17" t="str">
        <f aca="false">IF(A63="","",IF(AND(C63=Summary!$B$4,D63&gt;=Summary!$B$3,D63&lt;=Summary!$B$5),E63,0))</f>
        <v/>
      </c>
      <c r="H63" s="17" t="str">
        <f aca="false">IF(A63="","",IF(J63,0,-G63))</f>
        <v/>
      </c>
      <c r="I63" s="3" t="str">
        <f aca="false">IF(A63="","",COUNTIF($A$5:$A$500,A63)&gt;1)</f>
        <v/>
      </c>
      <c r="J63" s="3" t="str">
        <f aca="false">IF(A63="","",COUNTIF(Report_Data!$A$5:$A$500,A63)&gt;0)</f>
        <v/>
      </c>
    </row>
    <row r="64" customFormat="false" ht="15" hidden="false" customHeight="false" outlineLevel="0" collapsed="false">
      <c r="G64" s="17" t="str">
        <f aca="false">IF(A64="","",IF(AND(C64=Summary!$B$4,D64&gt;=Summary!$B$3,D64&lt;=Summary!$B$5),E64,0))</f>
        <v/>
      </c>
      <c r="H64" s="17" t="str">
        <f aca="false">IF(A64="","",IF(J64,0,-G64))</f>
        <v/>
      </c>
      <c r="I64" s="3" t="str">
        <f aca="false">IF(A64="","",COUNTIF($A$5:$A$500,A64)&gt;1)</f>
        <v/>
      </c>
      <c r="J64" s="3" t="str">
        <f aca="false">IF(A64="","",COUNTIF(Report_Data!$A$5:$A$500,A64)&gt;0)</f>
        <v/>
      </c>
    </row>
    <row r="65" customFormat="false" ht="15" hidden="false" customHeight="false" outlineLevel="0" collapsed="false">
      <c r="G65" s="17" t="str">
        <f aca="false">IF(A65="","",IF(AND(C65=Summary!$B$4,D65&gt;=Summary!$B$3,D65&lt;=Summary!$B$5),E65,0))</f>
        <v/>
      </c>
      <c r="H65" s="17" t="str">
        <f aca="false">IF(A65="","",IF(J65,0,-G65))</f>
        <v/>
      </c>
      <c r="I65" s="3" t="str">
        <f aca="false">IF(A65="","",COUNTIF($A$5:$A$500,A65)&gt;1)</f>
        <v/>
      </c>
      <c r="J65" s="3" t="str">
        <f aca="false">IF(A65="","",COUNTIF(Report_Data!$A$5:$A$500,A65)&gt;0)</f>
        <v/>
      </c>
    </row>
    <row r="66" customFormat="false" ht="15" hidden="false" customHeight="false" outlineLevel="0" collapsed="false">
      <c r="G66" s="17" t="str">
        <f aca="false">IF(A66="","",IF(AND(C66=Summary!$B$4,D66&gt;=Summary!$B$3,D66&lt;=Summary!$B$5),E66,0))</f>
        <v/>
      </c>
      <c r="H66" s="17" t="str">
        <f aca="false">IF(A66="","",IF(J66,0,-G66))</f>
        <v/>
      </c>
      <c r="I66" s="3" t="str">
        <f aca="false">IF(A66="","",COUNTIF($A$5:$A$500,A66)&gt;1)</f>
        <v/>
      </c>
      <c r="J66" s="3" t="str">
        <f aca="false">IF(A66="","",COUNTIF(Report_Data!$A$5:$A$500,A66)&gt;0)</f>
        <v/>
      </c>
    </row>
    <row r="67" customFormat="false" ht="15" hidden="false" customHeight="false" outlineLevel="0" collapsed="false">
      <c r="G67" s="17" t="str">
        <f aca="false">IF(A67="","",IF(AND(C67=Summary!$B$4,D67&gt;=Summary!$B$3,D67&lt;=Summary!$B$5),E67,0))</f>
        <v/>
      </c>
      <c r="H67" s="17" t="str">
        <f aca="false">IF(A67="","",IF(J67,0,-G67))</f>
        <v/>
      </c>
      <c r="I67" s="3" t="str">
        <f aca="false">IF(A67="","",COUNTIF($A$5:$A$500,A67)&gt;1)</f>
        <v/>
      </c>
      <c r="J67" s="3" t="str">
        <f aca="false">IF(A67="","",COUNTIF(Report_Data!$A$5:$A$500,A67)&gt;0)</f>
        <v/>
      </c>
    </row>
    <row r="68" customFormat="false" ht="15" hidden="false" customHeight="false" outlineLevel="0" collapsed="false">
      <c r="G68" s="17" t="str">
        <f aca="false">IF(A68="","",IF(AND(C68=Summary!$B$4,D68&gt;=Summary!$B$3,D68&lt;=Summary!$B$5),E68,0))</f>
        <v/>
      </c>
      <c r="H68" s="17" t="str">
        <f aca="false">IF(A68="","",IF(J68,0,-G68))</f>
        <v/>
      </c>
      <c r="I68" s="3" t="str">
        <f aca="false">IF(A68="","",COUNTIF($A$5:$A$500,A68)&gt;1)</f>
        <v/>
      </c>
      <c r="J68" s="3" t="str">
        <f aca="false">IF(A68="","",COUNTIF(Report_Data!$A$5:$A$500,A68)&gt;0)</f>
        <v/>
      </c>
    </row>
    <row r="69" customFormat="false" ht="15" hidden="false" customHeight="false" outlineLevel="0" collapsed="false">
      <c r="G69" s="17" t="str">
        <f aca="false">IF(A69="","",IF(AND(C69=Summary!$B$4,D69&gt;=Summary!$B$3,D69&lt;=Summary!$B$5),E69,0))</f>
        <v/>
      </c>
      <c r="H69" s="17" t="str">
        <f aca="false">IF(A69="","",IF(J69,0,-G69))</f>
        <v/>
      </c>
      <c r="I69" s="3" t="str">
        <f aca="false">IF(A69="","",COUNTIF($A$5:$A$500,A69)&gt;1)</f>
        <v/>
      </c>
      <c r="J69" s="3" t="str">
        <f aca="false">IF(A69="","",COUNTIF(Report_Data!$A$5:$A$500,A69)&gt;0)</f>
        <v/>
      </c>
    </row>
    <row r="70" customFormat="false" ht="15" hidden="false" customHeight="false" outlineLevel="0" collapsed="false">
      <c r="G70" s="17" t="str">
        <f aca="false">IF(A70="","",IF(AND(C70=Summary!$B$4,D70&gt;=Summary!$B$3,D70&lt;=Summary!$B$5),E70,0))</f>
        <v/>
      </c>
      <c r="H70" s="17" t="str">
        <f aca="false">IF(A70="","",IF(J70,0,-G70))</f>
        <v/>
      </c>
      <c r="I70" s="3" t="str">
        <f aca="false">IF(A70="","",COUNTIF($A$5:$A$500,A70)&gt;1)</f>
        <v/>
      </c>
      <c r="J70" s="3" t="str">
        <f aca="false">IF(A70="","",COUNTIF(Report_Data!$A$5:$A$500,A70)&gt;0)</f>
        <v/>
      </c>
    </row>
    <row r="71" customFormat="false" ht="15" hidden="false" customHeight="false" outlineLevel="0" collapsed="false">
      <c r="G71" s="17" t="str">
        <f aca="false">IF(A71="","",IF(AND(C71=Summary!$B$4,D71&gt;=Summary!$B$3,D71&lt;=Summary!$B$5),E71,0))</f>
        <v/>
      </c>
      <c r="H71" s="17" t="str">
        <f aca="false">IF(A71="","",IF(J71,0,-G71))</f>
        <v/>
      </c>
      <c r="I71" s="3" t="str">
        <f aca="false">IF(A71="","",COUNTIF($A$5:$A$500,A71)&gt;1)</f>
        <v/>
      </c>
      <c r="J71" s="3" t="str">
        <f aca="false">IF(A71="","",COUNTIF(Report_Data!$A$5:$A$500,A71)&gt;0)</f>
        <v/>
      </c>
    </row>
    <row r="72" customFormat="false" ht="15" hidden="false" customHeight="false" outlineLevel="0" collapsed="false">
      <c r="G72" s="17" t="str">
        <f aca="false">IF(A72="","",IF(AND(C72=Summary!$B$4,D72&gt;=Summary!$B$3,D72&lt;=Summary!$B$5),E72,0))</f>
        <v/>
      </c>
      <c r="H72" s="17" t="str">
        <f aca="false">IF(A72="","",IF(J72,0,-G72))</f>
        <v/>
      </c>
      <c r="I72" s="3" t="str">
        <f aca="false">IF(A72="","",COUNTIF($A$5:$A$500,A72)&gt;1)</f>
        <v/>
      </c>
      <c r="J72" s="3" t="str">
        <f aca="false">IF(A72="","",COUNTIF(Report_Data!$A$5:$A$500,A72)&gt;0)</f>
        <v/>
      </c>
    </row>
    <row r="73" customFormat="false" ht="15" hidden="false" customHeight="false" outlineLevel="0" collapsed="false">
      <c r="G73" s="17" t="str">
        <f aca="false">IF(A73="","",IF(AND(C73=Summary!$B$4,D73&gt;=Summary!$B$3,D73&lt;=Summary!$B$5),E73,0))</f>
        <v/>
      </c>
      <c r="H73" s="17" t="str">
        <f aca="false">IF(A73="","",IF(J73,0,-G73))</f>
        <v/>
      </c>
      <c r="I73" s="3" t="str">
        <f aca="false">IF(A73="","",COUNTIF($A$5:$A$500,A73)&gt;1)</f>
        <v/>
      </c>
      <c r="J73" s="3" t="str">
        <f aca="false">IF(A73="","",COUNTIF(Report_Data!$A$5:$A$500,A73)&gt;0)</f>
        <v/>
      </c>
    </row>
    <row r="74" customFormat="false" ht="15" hidden="false" customHeight="false" outlineLevel="0" collapsed="false">
      <c r="G74" s="17" t="str">
        <f aca="false">IF(A74="","",IF(AND(C74=Summary!$B$4,D74&gt;=Summary!$B$3,D74&lt;=Summary!$B$5),E74,0))</f>
        <v/>
      </c>
      <c r="H74" s="17" t="str">
        <f aca="false">IF(A74="","",IF(J74,0,-G74))</f>
        <v/>
      </c>
      <c r="I74" s="3" t="str">
        <f aca="false">IF(A74="","",COUNTIF($A$5:$A$500,A74)&gt;1)</f>
        <v/>
      </c>
      <c r="J74" s="3" t="str">
        <f aca="false">IF(A74="","",COUNTIF(Report_Data!$A$5:$A$500,A74)&gt;0)</f>
        <v/>
      </c>
    </row>
    <row r="75" customFormat="false" ht="15" hidden="false" customHeight="false" outlineLevel="0" collapsed="false">
      <c r="G75" s="17" t="str">
        <f aca="false">IF(A75="","",IF(AND(C75=Summary!$B$4,D75&gt;=Summary!$B$3,D75&lt;=Summary!$B$5),E75,0))</f>
        <v/>
      </c>
      <c r="H75" s="17" t="str">
        <f aca="false">IF(A75="","",IF(J75,0,-G75))</f>
        <v/>
      </c>
      <c r="I75" s="3" t="str">
        <f aca="false">IF(A75="","",COUNTIF($A$5:$A$500,A75)&gt;1)</f>
        <v/>
      </c>
      <c r="J75" s="3" t="str">
        <f aca="false">IF(A75="","",COUNTIF(Report_Data!$A$5:$A$500,A75)&gt;0)</f>
        <v/>
      </c>
    </row>
    <row r="76" customFormat="false" ht="15" hidden="false" customHeight="false" outlineLevel="0" collapsed="false">
      <c r="G76" s="17" t="str">
        <f aca="false">IF(A76="","",IF(AND(C76=Summary!$B$4,D76&gt;=Summary!$B$3,D76&lt;=Summary!$B$5),E76,0))</f>
        <v/>
      </c>
      <c r="H76" s="17" t="str">
        <f aca="false">IF(A76="","",IF(J76,0,-G76))</f>
        <v/>
      </c>
      <c r="I76" s="3" t="str">
        <f aca="false">IF(A76="","",COUNTIF($A$5:$A$500,A76)&gt;1)</f>
        <v/>
      </c>
      <c r="J76" s="3" t="str">
        <f aca="false">IF(A76="","",COUNTIF(Report_Data!$A$5:$A$500,A76)&gt;0)</f>
        <v/>
      </c>
    </row>
    <row r="77" customFormat="false" ht="15" hidden="false" customHeight="false" outlineLevel="0" collapsed="false">
      <c r="G77" s="17" t="str">
        <f aca="false">IF(A77="","",IF(AND(C77=Summary!$B$4,D77&gt;=Summary!$B$3,D77&lt;=Summary!$B$5),E77,0))</f>
        <v/>
      </c>
      <c r="H77" s="17" t="str">
        <f aca="false">IF(A77="","",IF(J77,0,-G77))</f>
        <v/>
      </c>
      <c r="I77" s="3" t="str">
        <f aca="false">IF(A77="","",COUNTIF($A$5:$A$500,A77)&gt;1)</f>
        <v/>
      </c>
      <c r="J77" s="3" t="str">
        <f aca="false">IF(A77="","",COUNTIF(Report_Data!$A$5:$A$500,A77)&gt;0)</f>
        <v/>
      </c>
    </row>
    <row r="78" customFormat="false" ht="15" hidden="false" customHeight="false" outlineLevel="0" collapsed="false">
      <c r="G78" s="17" t="str">
        <f aca="false">IF(A78="","",IF(AND(C78=Summary!$B$4,D78&gt;=Summary!$B$3,D78&lt;=Summary!$B$5),E78,0))</f>
        <v/>
      </c>
      <c r="H78" s="17" t="str">
        <f aca="false">IF(A78="","",IF(J78,0,-G78))</f>
        <v/>
      </c>
      <c r="I78" s="3" t="str">
        <f aca="false">IF(A78="","",COUNTIF($A$5:$A$500,A78)&gt;1)</f>
        <v/>
      </c>
      <c r="J78" s="3" t="str">
        <f aca="false">IF(A78="","",COUNTIF(Report_Data!$A$5:$A$500,A78)&gt;0)</f>
        <v/>
      </c>
    </row>
    <row r="79" customFormat="false" ht="15" hidden="false" customHeight="false" outlineLevel="0" collapsed="false">
      <c r="G79" s="17" t="str">
        <f aca="false">IF(A79="","",IF(AND(C79=Summary!$B$4,D79&gt;=Summary!$B$3,D79&lt;=Summary!$B$5),E79,0))</f>
        <v/>
      </c>
      <c r="H79" s="17" t="str">
        <f aca="false">IF(A79="","",IF(J79,0,-G79))</f>
        <v/>
      </c>
      <c r="I79" s="3" t="str">
        <f aca="false">IF(A79="","",COUNTIF($A$5:$A$500,A79)&gt;1)</f>
        <v/>
      </c>
      <c r="J79" s="3" t="str">
        <f aca="false">IF(A79="","",COUNTIF(Report_Data!$A$5:$A$500,A79)&gt;0)</f>
        <v/>
      </c>
    </row>
    <row r="80" customFormat="false" ht="15" hidden="false" customHeight="false" outlineLevel="0" collapsed="false">
      <c r="G80" s="17" t="str">
        <f aca="false">IF(A80="","",IF(AND(C80=Summary!$B$4,D80&gt;=Summary!$B$3,D80&lt;=Summary!$B$5),E80,0))</f>
        <v/>
      </c>
      <c r="H80" s="17" t="str">
        <f aca="false">IF(A80="","",IF(J80,0,-G80))</f>
        <v/>
      </c>
      <c r="I80" s="3" t="str">
        <f aca="false">IF(A80="","",COUNTIF($A$5:$A$500,A80)&gt;1)</f>
        <v/>
      </c>
      <c r="J80" s="3" t="str">
        <f aca="false">IF(A80="","",COUNTIF(Report_Data!$A$5:$A$500,A80)&gt;0)</f>
        <v/>
      </c>
    </row>
    <row r="81" customFormat="false" ht="15" hidden="false" customHeight="false" outlineLevel="0" collapsed="false">
      <c r="G81" s="17" t="str">
        <f aca="false">IF(A81="","",IF(AND(C81=Summary!$B$4,D81&gt;=Summary!$B$3,D81&lt;=Summary!$B$5),E81,0))</f>
        <v/>
      </c>
      <c r="H81" s="17" t="str">
        <f aca="false">IF(A81="","",IF(J81,0,-G81))</f>
        <v/>
      </c>
      <c r="I81" s="3" t="str">
        <f aca="false">IF(A81="","",COUNTIF($A$5:$A$500,A81)&gt;1)</f>
        <v/>
      </c>
      <c r="J81" s="3" t="str">
        <f aca="false">IF(A81="","",COUNTIF(Report_Data!$A$5:$A$500,A81)&gt;0)</f>
        <v/>
      </c>
    </row>
    <row r="82" customFormat="false" ht="15" hidden="false" customHeight="false" outlineLevel="0" collapsed="false">
      <c r="G82" s="17" t="str">
        <f aca="false">IF(A82="","",IF(AND(C82=Summary!$B$4,D82&gt;=Summary!$B$3,D82&lt;=Summary!$B$5),E82,0))</f>
        <v/>
      </c>
      <c r="H82" s="17" t="str">
        <f aca="false">IF(A82="","",IF(J82,0,-G82))</f>
        <v/>
      </c>
      <c r="I82" s="3" t="str">
        <f aca="false">IF(A82="","",COUNTIF($A$5:$A$500,A82)&gt;1)</f>
        <v/>
      </c>
      <c r="J82" s="3" t="str">
        <f aca="false">IF(A82="","",COUNTIF(Report_Data!$A$5:$A$500,A82)&gt;0)</f>
        <v/>
      </c>
    </row>
    <row r="83" customFormat="false" ht="15" hidden="false" customHeight="false" outlineLevel="0" collapsed="false">
      <c r="G83" s="17" t="str">
        <f aca="false">IF(A83="","",IF(AND(C83=Summary!$B$4,D83&gt;=Summary!$B$3,D83&lt;=Summary!$B$5),E83,0))</f>
        <v/>
      </c>
      <c r="H83" s="17" t="str">
        <f aca="false">IF(A83="","",IF(J83,0,-G83))</f>
        <v/>
      </c>
      <c r="I83" s="3" t="str">
        <f aca="false">IF(A83="","",COUNTIF($A$5:$A$500,A83)&gt;1)</f>
        <v/>
      </c>
      <c r="J83" s="3" t="str">
        <f aca="false">IF(A83="","",COUNTIF(Report_Data!$A$5:$A$500,A83)&gt;0)</f>
        <v/>
      </c>
    </row>
    <row r="84" customFormat="false" ht="15" hidden="false" customHeight="false" outlineLevel="0" collapsed="false">
      <c r="G84" s="17" t="str">
        <f aca="false">IF(A84="","",IF(AND(C84=Summary!$B$4,D84&gt;=Summary!$B$3,D84&lt;=Summary!$B$5),E84,0))</f>
        <v/>
      </c>
      <c r="H84" s="17" t="str">
        <f aca="false">IF(A84="","",IF(J84,0,-G84))</f>
        <v/>
      </c>
      <c r="I84" s="3" t="str">
        <f aca="false">IF(A84="","",COUNTIF($A$5:$A$500,A84)&gt;1)</f>
        <v/>
      </c>
      <c r="J84" s="3" t="str">
        <f aca="false">IF(A84="","",COUNTIF(Report_Data!$A$5:$A$500,A84)&gt;0)</f>
        <v/>
      </c>
    </row>
    <row r="85" customFormat="false" ht="15" hidden="false" customHeight="false" outlineLevel="0" collapsed="false">
      <c r="G85" s="17" t="str">
        <f aca="false">IF(A85="","",IF(AND(C85=Summary!$B$4,D85&gt;=Summary!$B$3,D85&lt;=Summary!$B$5),E85,0))</f>
        <v/>
      </c>
      <c r="H85" s="17" t="str">
        <f aca="false">IF(A85="","",IF(J85,0,-G85))</f>
        <v/>
      </c>
      <c r="I85" s="3" t="str">
        <f aca="false">IF(A85="","",COUNTIF($A$5:$A$500,A85)&gt;1)</f>
        <v/>
      </c>
      <c r="J85" s="3" t="str">
        <f aca="false">IF(A85="","",COUNTIF(Report_Data!$A$5:$A$500,A85)&gt;0)</f>
        <v/>
      </c>
    </row>
    <row r="86" customFormat="false" ht="15" hidden="false" customHeight="false" outlineLevel="0" collapsed="false">
      <c r="G86" s="17" t="str">
        <f aca="false">IF(A86="","",IF(AND(C86=Summary!$B$4,D86&gt;=Summary!$B$3,D86&lt;=Summary!$B$5),E86,0))</f>
        <v/>
      </c>
      <c r="H86" s="17" t="str">
        <f aca="false">IF(A86="","",IF(J86,0,-G86))</f>
        <v/>
      </c>
      <c r="I86" s="3" t="str">
        <f aca="false">IF(A86="","",COUNTIF($A$5:$A$500,A86)&gt;1)</f>
        <v/>
      </c>
      <c r="J86" s="3" t="str">
        <f aca="false">IF(A86="","",COUNTIF(Report_Data!$A$5:$A$500,A86)&gt;0)</f>
        <v/>
      </c>
    </row>
    <row r="87" customFormat="false" ht="15" hidden="false" customHeight="false" outlineLevel="0" collapsed="false">
      <c r="G87" s="17" t="str">
        <f aca="false">IF(A87="","",IF(AND(C87=Summary!$B$4,D87&gt;=Summary!$B$3,D87&lt;=Summary!$B$5),E87,0))</f>
        <v/>
      </c>
      <c r="H87" s="17" t="str">
        <f aca="false">IF(A87="","",IF(J87,0,-G87))</f>
        <v/>
      </c>
      <c r="I87" s="3" t="str">
        <f aca="false">IF(A87="","",COUNTIF($A$5:$A$500,A87)&gt;1)</f>
        <v/>
      </c>
      <c r="J87" s="3" t="str">
        <f aca="false">IF(A87="","",COUNTIF(Report_Data!$A$5:$A$500,A87)&gt;0)</f>
        <v/>
      </c>
    </row>
    <row r="88" customFormat="false" ht="15" hidden="false" customHeight="false" outlineLevel="0" collapsed="false">
      <c r="G88" s="17" t="str">
        <f aca="false">IF(A88="","",IF(AND(C88=Summary!$B$4,D88&gt;=Summary!$B$3,D88&lt;=Summary!$B$5),E88,0))</f>
        <v/>
      </c>
      <c r="H88" s="17" t="str">
        <f aca="false">IF(A88="","",IF(J88,0,-G88))</f>
        <v/>
      </c>
      <c r="I88" s="3" t="str">
        <f aca="false">IF(A88="","",COUNTIF($A$5:$A$500,A88)&gt;1)</f>
        <v/>
      </c>
      <c r="J88" s="3" t="str">
        <f aca="false">IF(A88="","",COUNTIF(Report_Data!$A$5:$A$500,A88)&gt;0)</f>
        <v/>
      </c>
    </row>
    <row r="89" customFormat="false" ht="15" hidden="false" customHeight="false" outlineLevel="0" collapsed="false">
      <c r="G89" s="17" t="str">
        <f aca="false">IF(A89="","",IF(AND(C89=Summary!$B$4,D89&gt;=Summary!$B$3,D89&lt;=Summary!$B$5),E89,0))</f>
        <v/>
      </c>
      <c r="H89" s="17" t="str">
        <f aca="false">IF(A89="","",IF(J89,0,-G89))</f>
        <v/>
      </c>
      <c r="I89" s="3" t="str">
        <f aca="false">IF(A89="","",COUNTIF($A$5:$A$500,A89)&gt;1)</f>
        <v/>
      </c>
      <c r="J89" s="3" t="str">
        <f aca="false">IF(A89="","",COUNTIF(Report_Data!$A$5:$A$500,A89)&gt;0)</f>
        <v/>
      </c>
    </row>
    <row r="90" customFormat="false" ht="15" hidden="false" customHeight="false" outlineLevel="0" collapsed="false">
      <c r="G90" s="17" t="str">
        <f aca="false">IF(A90="","",IF(AND(C90=Summary!$B$4,D90&gt;=Summary!$B$3,D90&lt;=Summary!$B$5),E90,0))</f>
        <v/>
      </c>
      <c r="H90" s="17" t="str">
        <f aca="false">IF(A90="","",IF(J90,0,-G90))</f>
        <v/>
      </c>
      <c r="I90" s="3" t="str">
        <f aca="false">IF(A90="","",COUNTIF($A$5:$A$500,A90)&gt;1)</f>
        <v/>
      </c>
      <c r="J90" s="3" t="str">
        <f aca="false">IF(A90="","",COUNTIF(Report_Data!$A$5:$A$500,A90)&gt;0)</f>
        <v/>
      </c>
    </row>
    <row r="91" customFormat="false" ht="15" hidden="false" customHeight="false" outlineLevel="0" collapsed="false">
      <c r="G91" s="17" t="str">
        <f aca="false">IF(A91="","",IF(AND(C91=Summary!$B$4,D91&gt;=Summary!$B$3,D91&lt;=Summary!$B$5),E91,0))</f>
        <v/>
      </c>
      <c r="H91" s="17" t="str">
        <f aca="false">IF(A91="","",IF(J91,0,-G91))</f>
        <v/>
      </c>
      <c r="I91" s="3" t="str">
        <f aca="false">IF(A91="","",COUNTIF($A$5:$A$500,A91)&gt;1)</f>
        <v/>
      </c>
      <c r="J91" s="3" t="str">
        <f aca="false">IF(A91="","",COUNTIF(Report_Data!$A$5:$A$500,A91)&gt;0)</f>
        <v/>
      </c>
    </row>
    <row r="92" customFormat="false" ht="15" hidden="false" customHeight="false" outlineLevel="0" collapsed="false">
      <c r="G92" s="17" t="str">
        <f aca="false">IF(A92="","",IF(AND(C92=Summary!$B$4,D92&gt;=Summary!$B$3,D92&lt;=Summary!$B$5),E92,0))</f>
        <v/>
      </c>
      <c r="H92" s="17" t="str">
        <f aca="false">IF(A92="","",IF(J92,0,-G92))</f>
        <v/>
      </c>
      <c r="I92" s="3" t="str">
        <f aca="false">IF(A92="","",COUNTIF($A$5:$A$500,A92)&gt;1)</f>
        <v/>
      </c>
      <c r="J92" s="3" t="str">
        <f aca="false">IF(A92="","",COUNTIF(Report_Data!$A$5:$A$500,A92)&gt;0)</f>
        <v/>
      </c>
    </row>
    <row r="93" customFormat="false" ht="15" hidden="false" customHeight="false" outlineLevel="0" collapsed="false">
      <c r="G93" s="17" t="str">
        <f aca="false">IF(A93="","",IF(AND(C93=Summary!$B$4,D93&gt;=Summary!$B$3,D93&lt;=Summary!$B$5),E93,0))</f>
        <v/>
      </c>
      <c r="H93" s="17" t="str">
        <f aca="false">IF(A93="","",IF(J93,0,-G93))</f>
        <v/>
      </c>
      <c r="I93" s="3" t="str">
        <f aca="false">IF(A93="","",COUNTIF($A$5:$A$500,A93)&gt;1)</f>
        <v/>
      </c>
      <c r="J93" s="3" t="str">
        <f aca="false">IF(A93="","",COUNTIF(Report_Data!$A$5:$A$500,A93)&gt;0)</f>
        <v/>
      </c>
    </row>
    <row r="94" customFormat="false" ht="15" hidden="false" customHeight="false" outlineLevel="0" collapsed="false">
      <c r="G94" s="17" t="str">
        <f aca="false">IF(A94="","",IF(AND(C94=Summary!$B$4,D94&gt;=Summary!$B$3,D94&lt;=Summary!$B$5),E94,0))</f>
        <v/>
      </c>
      <c r="H94" s="17" t="str">
        <f aca="false">IF(A94="","",IF(J94,0,-G94))</f>
        <v/>
      </c>
      <c r="I94" s="3" t="str">
        <f aca="false">IF(A94="","",COUNTIF($A$5:$A$500,A94)&gt;1)</f>
        <v/>
      </c>
      <c r="J94" s="3" t="str">
        <f aca="false">IF(A94="","",COUNTIF(Report_Data!$A$5:$A$500,A94)&gt;0)</f>
        <v/>
      </c>
    </row>
    <row r="95" customFormat="false" ht="15" hidden="false" customHeight="false" outlineLevel="0" collapsed="false">
      <c r="G95" s="17" t="str">
        <f aca="false">IF(A95="","",IF(AND(C95=Summary!$B$4,D95&gt;=Summary!$B$3,D95&lt;=Summary!$B$5),E95,0))</f>
        <v/>
      </c>
      <c r="H95" s="17" t="str">
        <f aca="false">IF(A95="","",IF(J95,0,-G95))</f>
        <v/>
      </c>
      <c r="I95" s="3" t="str">
        <f aca="false">IF(A95="","",COUNTIF($A$5:$A$500,A95)&gt;1)</f>
        <v/>
      </c>
      <c r="J95" s="3" t="str">
        <f aca="false">IF(A95="","",COUNTIF(Report_Data!$A$5:$A$500,A95)&gt;0)</f>
        <v/>
      </c>
    </row>
    <row r="96" customFormat="false" ht="15" hidden="false" customHeight="false" outlineLevel="0" collapsed="false">
      <c r="G96" s="17" t="str">
        <f aca="false">IF(A96="","",IF(AND(C96=Summary!$B$4,D96&gt;=Summary!$B$3,D96&lt;=Summary!$B$5),E96,0))</f>
        <v/>
      </c>
      <c r="H96" s="17" t="str">
        <f aca="false">IF(A96="","",IF(J96,0,-G96))</f>
        <v/>
      </c>
      <c r="I96" s="3" t="str">
        <f aca="false">IF(A96="","",COUNTIF($A$5:$A$500,A96)&gt;1)</f>
        <v/>
      </c>
      <c r="J96" s="3" t="str">
        <f aca="false">IF(A96="","",COUNTIF(Report_Data!$A$5:$A$500,A96)&gt;0)</f>
        <v/>
      </c>
    </row>
    <row r="97" customFormat="false" ht="15" hidden="false" customHeight="false" outlineLevel="0" collapsed="false">
      <c r="G97" s="17" t="str">
        <f aca="false">IF(A97="","",IF(AND(C97=Summary!$B$4,D97&gt;=Summary!$B$3,D97&lt;=Summary!$B$5),E97,0))</f>
        <v/>
      </c>
      <c r="H97" s="17" t="str">
        <f aca="false">IF(A97="","",IF(J97,0,-G97))</f>
        <v/>
      </c>
      <c r="I97" s="3" t="str">
        <f aca="false">IF(A97="","",COUNTIF($A$5:$A$500,A97)&gt;1)</f>
        <v/>
      </c>
      <c r="J97" s="3" t="str">
        <f aca="false">IF(A97="","",COUNTIF(Report_Data!$A$5:$A$500,A97)&gt;0)</f>
        <v/>
      </c>
    </row>
    <row r="98" customFormat="false" ht="15" hidden="false" customHeight="false" outlineLevel="0" collapsed="false">
      <c r="G98" s="17" t="str">
        <f aca="false">IF(A98="","",IF(AND(C98=Summary!$B$4,D98&gt;=Summary!$B$3,D98&lt;=Summary!$B$5),E98,0))</f>
        <v/>
      </c>
      <c r="H98" s="17" t="str">
        <f aca="false">IF(A98="","",IF(J98,0,-G98))</f>
        <v/>
      </c>
      <c r="I98" s="3" t="str">
        <f aca="false">IF(A98="","",COUNTIF($A$5:$A$500,A98)&gt;1)</f>
        <v/>
      </c>
      <c r="J98" s="3" t="str">
        <f aca="false">IF(A98="","",COUNTIF(Report_Data!$A$5:$A$500,A98)&gt;0)</f>
        <v/>
      </c>
    </row>
    <row r="99" customFormat="false" ht="15" hidden="false" customHeight="false" outlineLevel="0" collapsed="false">
      <c r="G99" s="17" t="str">
        <f aca="false">IF(A99="","",IF(AND(C99=Summary!$B$4,D99&gt;=Summary!$B$3,D99&lt;=Summary!$B$5),E99,0))</f>
        <v/>
      </c>
      <c r="H99" s="17" t="str">
        <f aca="false">IF(A99="","",IF(J99,0,-G99))</f>
        <v/>
      </c>
      <c r="I99" s="3" t="str">
        <f aca="false">IF(A99="","",COUNTIF($A$5:$A$500,A99)&gt;1)</f>
        <v/>
      </c>
      <c r="J99" s="3" t="str">
        <f aca="false">IF(A99="","",COUNTIF(Report_Data!$A$5:$A$500,A99)&gt;0)</f>
        <v/>
      </c>
    </row>
    <row r="100" customFormat="false" ht="15" hidden="false" customHeight="false" outlineLevel="0" collapsed="false">
      <c r="G100" s="17" t="str">
        <f aca="false">IF(A100="","",IF(AND(C100=Summary!$B$4,D100&gt;=Summary!$B$3,D100&lt;=Summary!$B$5),E100,0))</f>
        <v/>
      </c>
      <c r="H100" s="17" t="str">
        <f aca="false">IF(A100="","",IF(J100,0,-G100))</f>
        <v/>
      </c>
      <c r="I100" s="3" t="str">
        <f aca="false">IF(A100="","",COUNTIF($A$5:$A$500,A100)&gt;1)</f>
        <v/>
      </c>
      <c r="J100" s="3" t="str">
        <f aca="false">IF(A100="","",COUNTIF(Report_Data!$A$5:$A$500,A100)&gt;0)</f>
        <v/>
      </c>
    </row>
    <row r="101" customFormat="false" ht="15" hidden="false" customHeight="false" outlineLevel="0" collapsed="false">
      <c r="G101" s="17" t="str">
        <f aca="false">IF(A101="","",IF(AND(C101=Summary!$B$4,D101&gt;=Summary!$B$3,D101&lt;=Summary!$B$5),E101,0))</f>
        <v/>
      </c>
      <c r="H101" s="17" t="str">
        <f aca="false">IF(A101="","",IF(J101,0,-G101))</f>
        <v/>
      </c>
      <c r="I101" s="3" t="str">
        <f aca="false">IF(A101="","",COUNTIF($A$5:$A$500,A101)&gt;1)</f>
        <v/>
      </c>
      <c r="J101" s="3" t="str">
        <f aca="false">IF(A101="","",COUNTIF(Report_Data!$A$5:$A$500,A101)&gt;0)</f>
        <v/>
      </c>
    </row>
    <row r="102" customFormat="false" ht="15" hidden="false" customHeight="false" outlineLevel="0" collapsed="false">
      <c r="G102" s="17" t="str">
        <f aca="false">IF(A102="","",IF(AND(C102=Summary!$B$4,D102&gt;=Summary!$B$3,D102&lt;=Summary!$B$5),E102,0))</f>
        <v/>
      </c>
      <c r="H102" s="17" t="str">
        <f aca="false">IF(A102="","",IF(J102,0,-G102))</f>
        <v/>
      </c>
      <c r="I102" s="3" t="str">
        <f aca="false">IF(A102="","",COUNTIF($A$5:$A$500,A102)&gt;1)</f>
        <v/>
      </c>
      <c r="J102" s="3" t="str">
        <f aca="false">IF(A102="","",COUNTIF(Report_Data!$A$5:$A$500,A102)&gt;0)</f>
        <v/>
      </c>
    </row>
    <row r="103" customFormat="false" ht="15" hidden="false" customHeight="false" outlineLevel="0" collapsed="false">
      <c r="G103" s="17" t="str">
        <f aca="false">IF(A103="","",IF(AND(C103=Summary!$B$4,D103&gt;=Summary!$B$3,D103&lt;=Summary!$B$5),E103,0))</f>
        <v/>
      </c>
      <c r="H103" s="17" t="str">
        <f aca="false">IF(A103="","",IF(J103,0,-G103))</f>
        <v/>
      </c>
      <c r="I103" s="3" t="str">
        <f aca="false">IF(A103="","",COUNTIF($A$5:$A$500,A103)&gt;1)</f>
        <v/>
      </c>
      <c r="J103" s="3" t="str">
        <f aca="false">IF(A103="","",COUNTIF(Report_Data!$A$5:$A$500,A103)&gt;0)</f>
        <v/>
      </c>
    </row>
    <row r="104" customFormat="false" ht="15" hidden="false" customHeight="false" outlineLevel="0" collapsed="false">
      <c r="G104" s="17" t="str">
        <f aca="false">IF(A104="","",IF(AND(C104=Summary!$B$4,D104&gt;=Summary!$B$3,D104&lt;=Summary!$B$5),E104,0))</f>
        <v/>
      </c>
      <c r="H104" s="17" t="str">
        <f aca="false">IF(A104="","",IF(J104,0,-G104))</f>
        <v/>
      </c>
      <c r="I104" s="3" t="str">
        <f aca="false">IF(A104="","",COUNTIF($A$5:$A$500,A104)&gt;1)</f>
        <v/>
      </c>
      <c r="J104" s="3" t="str">
        <f aca="false">IF(A104="","",COUNTIF(Report_Data!$A$5:$A$500,A104)&gt;0)</f>
        <v/>
      </c>
    </row>
    <row r="105" customFormat="false" ht="15" hidden="false" customHeight="false" outlineLevel="0" collapsed="false">
      <c r="G105" s="17" t="str">
        <f aca="false">IF(A105="","",IF(AND(C105=Summary!$B$4,D105&gt;=Summary!$B$3,D105&lt;=Summary!$B$5),E105,0))</f>
        <v/>
      </c>
      <c r="H105" s="17" t="str">
        <f aca="false">IF(A105="","",IF(J105,0,-G105))</f>
        <v/>
      </c>
      <c r="I105" s="3" t="str">
        <f aca="false">IF(A105="","",COUNTIF($A$5:$A$500,A105)&gt;1)</f>
        <v/>
      </c>
      <c r="J105" s="3" t="str">
        <f aca="false">IF(A105="","",COUNTIF(Report_Data!$A$5:$A$500,A105)&gt;0)</f>
        <v/>
      </c>
    </row>
    <row r="106" customFormat="false" ht="15" hidden="false" customHeight="false" outlineLevel="0" collapsed="false">
      <c r="G106" s="17" t="str">
        <f aca="false">IF(A106="","",IF(AND(C106=Summary!$B$4,D106&gt;=Summary!$B$3,D106&lt;=Summary!$B$5),E106,0))</f>
        <v/>
      </c>
      <c r="H106" s="17" t="str">
        <f aca="false">IF(A106="","",IF(J106,0,-G106))</f>
        <v/>
      </c>
      <c r="I106" s="3" t="str">
        <f aca="false">IF(A106="","",COUNTIF($A$5:$A$500,A106)&gt;1)</f>
        <v/>
      </c>
      <c r="J106" s="3" t="str">
        <f aca="false">IF(A106="","",COUNTIF(Report_Data!$A$5:$A$500,A106)&gt;0)</f>
        <v/>
      </c>
    </row>
    <row r="107" customFormat="false" ht="15" hidden="false" customHeight="false" outlineLevel="0" collapsed="false">
      <c r="G107" s="17" t="str">
        <f aca="false">IF(A107="","",IF(AND(C107=Summary!$B$4,D107&gt;=Summary!$B$3,D107&lt;=Summary!$B$5),E107,0))</f>
        <v/>
      </c>
      <c r="H107" s="17" t="str">
        <f aca="false">IF(A107="","",IF(J107,0,-G107))</f>
        <v/>
      </c>
      <c r="I107" s="3" t="str">
        <f aca="false">IF(A107="","",COUNTIF($A$5:$A$500,A107)&gt;1)</f>
        <v/>
      </c>
      <c r="J107" s="3" t="str">
        <f aca="false">IF(A107="","",COUNTIF(Report_Data!$A$5:$A$500,A107)&gt;0)</f>
        <v/>
      </c>
    </row>
    <row r="108" customFormat="false" ht="15" hidden="false" customHeight="false" outlineLevel="0" collapsed="false">
      <c r="G108" s="17" t="str">
        <f aca="false">IF(A108="","",IF(AND(C108=Summary!$B$4,D108&gt;=Summary!$B$3,D108&lt;=Summary!$B$5),E108,0))</f>
        <v/>
      </c>
      <c r="H108" s="17" t="str">
        <f aca="false">IF(A108="","",IF(J108,0,-G108))</f>
        <v/>
      </c>
      <c r="I108" s="3" t="str">
        <f aca="false">IF(A108="","",COUNTIF($A$5:$A$500,A108)&gt;1)</f>
        <v/>
      </c>
      <c r="J108" s="3" t="str">
        <f aca="false">IF(A108="","",COUNTIF(Report_Data!$A$5:$A$500,A108)&gt;0)</f>
        <v/>
      </c>
    </row>
    <row r="109" customFormat="false" ht="15" hidden="false" customHeight="false" outlineLevel="0" collapsed="false">
      <c r="G109" s="17" t="str">
        <f aca="false">IF(A109="","",IF(AND(C109=Summary!$B$4,D109&gt;=Summary!$B$3,D109&lt;=Summary!$B$5),E109,0))</f>
        <v/>
      </c>
      <c r="H109" s="17" t="str">
        <f aca="false">IF(A109="","",IF(J109,0,-G109))</f>
        <v/>
      </c>
      <c r="I109" s="3" t="str">
        <f aca="false">IF(A109="","",COUNTIF($A$5:$A$500,A109)&gt;1)</f>
        <v/>
      </c>
      <c r="J109" s="3" t="str">
        <f aca="false">IF(A109="","",COUNTIF(Report_Data!$A$5:$A$500,A109)&gt;0)</f>
        <v/>
      </c>
    </row>
    <row r="110" customFormat="false" ht="15" hidden="false" customHeight="false" outlineLevel="0" collapsed="false">
      <c r="G110" s="17" t="str">
        <f aca="false">IF(A110="","",IF(AND(C110=Summary!$B$4,D110&gt;=Summary!$B$3,D110&lt;=Summary!$B$5),E110,0))</f>
        <v/>
      </c>
      <c r="H110" s="17" t="str">
        <f aca="false">IF(A110="","",IF(J110,0,-G110))</f>
        <v/>
      </c>
      <c r="I110" s="3" t="str">
        <f aca="false">IF(A110="","",COUNTIF($A$5:$A$500,A110)&gt;1)</f>
        <v/>
      </c>
      <c r="J110" s="3" t="str">
        <f aca="false">IF(A110="","",COUNTIF(Report_Data!$A$5:$A$500,A110)&gt;0)</f>
        <v/>
      </c>
    </row>
    <row r="111" customFormat="false" ht="15" hidden="false" customHeight="false" outlineLevel="0" collapsed="false">
      <c r="G111" s="17" t="str">
        <f aca="false">IF(A111="","",IF(AND(C111=Summary!$B$4,D111&gt;=Summary!$B$3,D111&lt;=Summary!$B$5),E111,0))</f>
        <v/>
      </c>
      <c r="H111" s="17" t="str">
        <f aca="false">IF(A111="","",IF(J111,0,-G111))</f>
        <v/>
      </c>
      <c r="I111" s="3" t="str">
        <f aca="false">IF(A111="","",COUNTIF($A$5:$A$500,A111)&gt;1)</f>
        <v/>
      </c>
      <c r="J111" s="3" t="str">
        <f aca="false">IF(A111="","",COUNTIF(Report_Data!$A$5:$A$500,A111)&gt;0)</f>
        <v/>
      </c>
    </row>
    <row r="112" customFormat="false" ht="15" hidden="false" customHeight="false" outlineLevel="0" collapsed="false">
      <c r="G112" s="17" t="str">
        <f aca="false">IF(A112="","",IF(AND(C112=Summary!$B$4,D112&gt;=Summary!$B$3,D112&lt;=Summary!$B$5),E112,0))</f>
        <v/>
      </c>
      <c r="H112" s="17" t="str">
        <f aca="false">IF(A112="","",IF(J112,0,-G112))</f>
        <v/>
      </c>
      <c r="I112" s="3" t="str">
        <f aca="false">IF(A112="","",COUNTIF($A$5:$A$500,A112)&gt;1)</f>
        <v/>
      </c>
      <c r="J112" s="3" t="str">
        <f aca="false">IF(A112="","",COUNTIF(Report_Data!$A$5:$A$500,A112)&gt;0)</f>
        <v/>
      </c>
    </row>
    <row r="113" customFormat="false" ht="15" hidden="false" customHeight="false" outlineLevel="0" collapsed="false">
      <c r="G113" s="17" t="str">
        <f aca="false">IF(A113="","",IF(AND(C113=Summary!$B$4,D113&gt;=Summary!$B$3,D113&lt;=Summary!$B$5),E113,0))</f>
        <v/>
      </c>
      <c r="H113" s="17" t="str">
        <f aca="false">IF(A113="","",IF(J113,0,-G113))</f>
        <v/>
      </c>
      <c r="I113" s="3" t="str">
        <f aca="false">IF(A113="","",COUNTIF($A$5:$A$500,A113)&gt;1)</f>
        <v/>
      </c>
      <c r="J113" s="3" t="str">
        <f aca="false">IF(A113="","",COUNTIF(Report_Data!$A$5:$A$500,A113)&gt;0)</f>
        <v/>
      </c>
    </row>
    <row r="114" customFormat="false" ht="15" hidden="false" customHeight="false" outlineLevel="0" collapsed="false">
      <c r="G114" s="17" t="str">
        <f aca="false">IF(A114="","",IF(AND(C114=Summary!$B$4,D114&gt;=Summary!$B$3,D114&lt;=Summary!$B$5),E114,0))</f>
        <v/>
      </c>
      <c r="H114" s="17" t="str">
        <f aca="false">IF(A114="","",IF(J114,0,-G114))</f>
        <v/>
      </c>
      <c r="I114" s="3" t="str">
        <f aca="false">IF(A114="","",COUNTIF($A$5:$A$500,A114)&gt;1)</f>
        <v/>
      </c>
      <c r="J114" s="3" t="str">
        <f aca="false">IF(A114="","",COUNTIF(Report_Data!$A$5:$A$500,A114)&gt;0)</f>
        <v/>
      </c>
    </row>
    <row r="115" customFormat="false" ht="15" hidden="false" customHeight="false" outlineLevel="0" collapsed="false">
      <c r="G115" s="17" t="str">
        <f aca="false">IF(A115="","",IF(AND(C115=Summary!$B$4,D115&gt;=Summary!$B$3,D115&lt;=Summary!$B$5),E115,0))</f>
        <v/>
      </c>
      <c r="H115" s="17" t="str">
        <f aca="false">IF(A115="","",IF(J115,0,-G115))</f>
        <v/>
      </c>
      <c r="I115" s="3" t="str">
        <f aca="false">IF(A115="","",COUNTIF($A$5:$A$500,A115)&gt;1)</f>
        <v/>
      </c>
      <c r="J115" s="3" t="str">
        <f aca="false">IF(A115="","",COUNTIF(Report_Data!$A$5:$A$500,A115)&gt;0)</f>
        <v/>
      </c>
    </row>
    <row r="116" customFormat="false" ht="15" hidden="false" customHeight="false" outlineLevel="0" collapsed="false">
      <c r="G116" s="17" t="str">
        <f aca="false">IF(A116="","",IF(AND(C116=Summary!$B$4,D116&gt;=Summary!$B$3,D116&lt;=Summary!$B$5),E116,0))</f>
        <v/>
      </c>
      <c r="H116" s="17" t="str">
        <f aca="false">IF(A116="","",IF(J116,0,-G116))</f>
        <v/>
      </c>
      <c r="I116" s="3" t="str">
        <f aca="false">IF(A116="","",COUNTIF($A$5:$A$500,A116)&gt;1)</f>
        <v/>
      </c>
      <c r="J116" s="3" t="str">
        <f aca="false">IF(A116="","",COUNTIF(Report_Data!$A$5:$A$500,A116)&gt;0)</f>
        <v/>
      </c>
    </row>
    <row r="117" customFormat="false" ht="15" hidden="false" customHeight="false" outlineLevel="0" collapsed="false">
      <c r="G117" s="17" t="str">
        <f aca="false">IF(A117="","",IF(AND(C117=Summary!$B$4,D117&gt;=Summary!$B$3,D117&lt;=Summary!$B$5),E117,0))</f>
        <v/>
      </c>
      <c r="H117" s="17" t="str">
        <f aca="false">IF(A117="","",IF(J117,0,-G117))</f>
        <v/>
      </c>
      <c r="I117" s="3" t="str">
        <f aca="false">IF(A117="","",COUNTIF($A$5:$A$500,A117)&gt;1)</f>
        <v/>
      </c>
      <c r="J117" s="3" t="str">
        <f aca="false">IF(A117="","",COUNTIF(Report_Data!$A$5:$A$500,A117)&gt;0)</f>
        <v/>
      </c>
    </row>
    <row r="118" customFormat="false" ht="15" hidden="false" customHeight="false" outlineLevel="0" collapsed="false">
      <c r="G118" s="17" t="str">
        <f aca="false">IF(A118="","",IF(AND(C118=Summary!$B$4,D118&gt;=Summary!$B$3,D118&lt;=Summary!$B$5),E118,0))</f>
        <v/>
      </c>
      <c r="H118" s="17" t="str">
        <f aca="false">IF(A118="","",IF(J118,0,-G118))</f>
        <v/>
      </c>
      <c r="I118" s="3" t="str">
        <f aca="false">IF(A118="","",COUNTIF($A$5:$A$500,A118)&gt;1)</f>
        <v/>
      </c>
      <c r="J118" s="3" t="str">
        <f aca="false">IF(A118="","",COUNTIF(Report_Data!$A$5:$A$500,A118)&gt;0)</f>
        <v/>
      </c>
    </row>
    <row r="119" customFormat="false" ht="15" hidden="false" customHeight="false" outlineLevel="0" collapsed="false">
      <c r="G119" s="17" t="str">
        <f aca="false">IF(A119="","",IF(AND(C119=Summary!$B$4,D119&gt;=Summary!$B$3,D119&lt;=Summary!$B$5),E119,0))</f>
        <v/>
      </c>
      <c r="H119" s="17" t="str">
        <f aca="false">IF(A119="","",IF(J119,0,-G119))</f>
        <v/>
      </c>
      <c r="I119" s="3" t="str">
        <f aca="false">IF(A119="","",COUNTIF($A$5:$A$500,A119)&gt;1)</f>
        <v/>
      </c>
      <c r="J119" s="3" t="str">
        <f aca="false">IF(A119="","",COUNTIF(Report_Data!$A$5:$A$500,A119)&gt;0)</f>
        <v/>
      </c>
    </row>
    <row r="120" customFormat="false" ht="15" hidden="false" customHeight="false" outlineLevel="0" collapsed="false">
      <c r="G120" s="17" t="str">
        <f aca="false">IF(A120="","",IF(AND(C120=Summary!$B$4,D120&gt;=Summary!$B$3,D120&lt;=Summary!$B$5),E120,0))</f>
        <v/>
      </c>
      <c r="H120" s="17" t="str">
        <f aca="false">IF(A120="","",IF(J120,0,-G120))</f>
        <v/>
      </c>
      <c r="I120" s="3" t="str">
        <f aca="false">IF(A120="","",COUNTIF($A$5:$A$500,A120)&gt;1)</f>
        <v/>
      </c>
      <c r="J120" s="3" t="str">
        <f aca="false">IF(A120="","",COUNTIF(Report_Data!$A$5:$A$500,A120)&gt;0)</f>
        <v/>
      </c>
    </row>
    <row r="121" customFormat="false" ht="15" hidden="false" customHeight="false" outlineLevel="0" collapsed="false">
      <c r="G121" s="17" t="str">
        <f aca="false">IF(A121="","",IF(AND(C121=Summary!$B$4,D121&gt;=Summary!$B$3,D121&lt;=Summary!$B$5),E121,0))</f>
        <v/>
      </c>
      <c r="H121" s="17" t="str">
        <f aca="false">IF(A121="","",IF(J121,0,-G121))</f>
        <v/>
      </c>
      <c r="I121" s="3" t="str">
        <f aca="false">IF(A121="","",COUNTIF($A$5:$A$500,A121)&gt;1)</f>
        <v/>
      </c>
      <c r="J121" s="3" t="str">
        <f aca="false">IF(A121="","",COUNTIF(Report_Data!$A$5:$A$500,A121)&gt;0)</f>
        <v/>
      </c>
    </row>
    <row r="122" customFormat="false" ht="15" hidden="false" customHeight="false" outlineLevel="0" collapsed="false">
      <c r="G122" s="17" t="str">
        <f aca="false">IF(A122="","",IF(AND(C122=Summary!$B$4,D122&gt;=Summary!$B$3,D122&lt;=Summary!$B$5),E122,0))</f>
        <v/>
      </c>
      <c r="H122" s="17" t="str">
        <f aca="false">IF(A122="","",IF(J122,0,-G122))</f>
        <v/>
      </c>
      <c r="I122" s="3" t="str">
        <f aca="false">IF(A122="","",COUNTIF($A$5:$A$500,A122)&gt;1)</f>
        <v/>
      </c>
      <c r="J122" s="3" t="str">
        <f aca="false">IF(A122="","",COUNTIF(Report_Data!$A$5:$A$500,A122)&gt;0)</f>
        <v/>
      </c>
    </row>
    <row r="123" customFormat="false" ht="15" hidden="false" customHeight="false" outlineLevel="0" collapsed="false">
      <c r="G123" s="17" t="str">
        <f aca="false">IF(A123="","",IF(AND(C123=Summary!$B$4,D123&gt;=Summary!$B$3,D123&lt;=Summary!$B$5),E123,0))</f>
        <v/>
      </c>
      <c r="H123" s="17" t="str">
        <f aca="false">IF(A123="","",IF(J123,0,-G123))</f>
        <v/>
      </c>
      <c r="I123" s="3" t="str">
        <f aca="false">IF(A123="","",COUNTIF($A$5:$A$500,A123)&gt;1)</f>
        <v/>
      </c>
      <c r="J123" s="3" t="str">
        <f aca="false">IF(A123="","",COUNTIF(Report_Data!$A$5:$A$500,A123)&gt;0)</f>
        <v/>
      </c>
    </row>
    <row r="124" customFormat="false" ht="15" hidden="false" customHeight="false" outlineLevel="0" collapsed="false">
      <c r="G124" s="17" t="str">
        <f aca="false">IF(A124="","",IF(AND(C124=Summary!$B$4,D124&gt;=Summary!$B$3,D124&lt;=Summary!$B$5),E124,0))</f>
        <v/>
      </c>
      <c r="H124" s="17" t="str">
        <f aca="false">IF(A124="","",IF(J124,0,-G124))</f>
        <v/>
      </c>
      <c r="I124" s="3" t="str">
        <f aca="false">IF(A124="","",COUNTIF($A$5:$A$500,A124)&gt;1)</f>
        <v/>
      </c>
      <c r="J124" s="3" t="str">
        <f aca="false">IF(A124="","",COUNTIF(Report_Data!$A$5:$A$500,A124)&gt;0)</f>
        <v/>
      </c>
    </row>
    <row r="125" customFormat="false" ht="15" hidden="false" customHeight="false" outlineLevel="0" collapsed="false">
      <c r="G125" s="17" t="str">
        <f aca="false">IF(A125="","",IF(AND(C125=Summary!$B$4,D125&gt;=Summary!$B$3,D125&lt;=Summary!$B$5),E125,0))</f>
        <v/>
      </c>
      <c r="H125" s="17" t="str">
        <f aca="false">IF(A125="","",IF(J125,0,-G125))</f>
        <v/>
      </c>
      <c r="I125" s="3" t="str">
        <f aca="false">IF(A125="","",COUNTIF($A$5:$A$500,A125)&gt;1)</f>
        <v/>
      </c>
      <c r="J125" s="3" t="str">
        <f aca="false">IF(A125="","",COUNTIF(Report_Data!$A$5:$A$500,A125)&gt;0)</f>
        <v/>
      </c>
    </row>
    <row r="126" customFormat="false" ht="15" hidden="false" customHeight="false" outlineLevel="0" collapsed="false">
      <c r="G126" s="17" t="str">
        <f aca="false">IF(A126="","",IF(AND(C126=Summary!$B$4,D126&gt;=Summary!$B$3,D126&lt;=Summary!$B$5),E126,0))</f>
        <v/>
      </c>
      <c r="H126" s="17" t="str">
        <f aca="false">IF(A126="","",IF(J126,0,-G126))</f>
        <v/>
      </c>
      <c r="I126" s="3" t="str">
        <f aca="false">IF(A126="","",COUNTIF($A$5:$A$500,A126)&gt;1)</f>
        <v/>
      </c>
      <c r="J126" s="3" t="str">
        <f aca="false">IF(A126="","",COUNTIF(Report_Data!$A$5:$A$500,A126)&gt;0)</f>
        <v/>
      </c>
    </row>
    <row r="127" customFormat="false" ht="15" hidden="false" customHeight="false" outlineLevel="0" collapsed="false">
      <c r="G127" s="17" t="str">
        <f aca="false">IF(A127="","",IF(AND(C127=Summary!$B$4,D127&gt;=Summary!$B$3,D127&lt;=Summary!$B$5),E127,0))</f>
        <v/>
      </c>
      <c r="H127" s="17" t="str">
        <f aca="false">IF(A127="","",IF(J127,0,-G127))</f>
        <v/>
      </c>
      <c r="I127" s="3" t="str">
        <f aca="false">IF(A127="","",COUNTIF($A$5:$A$500,A127)&gt;1)</f>
        <v/>
      </c>
      <c r="J127" s="3" t="str">
        <f aca="false">IF(A127="","",COUNTIF(Report_Data!$A$5:$A$500,A127)&gt;0)</f>
        <v/>
      </c>
    </row>
    <row r="128" customFormat="false" ht="15" hidden="false" customHeight="false" outlineLevel="0" collapsed="false">
      <c r="G128" s="17" t="str">
        <f aca="false">IF(A128="","",IF(AND(C128=Summary!$B$4,D128&gt;=Summary!$B$3,D128&lt;=Summary!$B$5),E128,0))</f>
        <v/>
      </c>
      <c r="H128" s="17" t="str">
        <f aca="false">IF(A128="","",IF(J128,0,-G128))</f>
        <v/>
      </c>
      <c r="I128" s="3" t="str">
        <f aca="false">IF(A128="","",COUNTIF($A$5:$A$500,A128)&gt;1)</f>
        <v/>
      </c>
      <c r="J128" s="3" t="str">
        <f aca="false">IF(A128="","",COUNTIF(Report_Data!$A$5:$A$500,A128)&gt;0)</f>
        <v/>
      </c>
    </row>
    <row r="129" customFormat="false" ht="15" hidden="false" customHeight="false" outlineLevel="0" collapsed="false">
      <c r="G129" s="17" t="str">
        <f aca="false">IF(A129="","",IF(AND(C129=Summary!$B$4,D129&gt;=Summary!$B$3,D129&lt;=Summary!$B$5),E129,0))</f>
        <v/>
      </c>
      <c r="H129" s="17" t="str">
        <f aca="false">IF(A129="","",IF(J129,0,-G129))</f>
        <v/>
      </c>
      <c r="I129" s="3" t="str">
        <f aca="false">IF(A129="","",COUNTIF($A$5:$A$500,A129)&gt;1)</f>
        <v/>
      </c>
      <c r="J129" s="3" t="str">
        <f aca="false">IF(A129="","",COUNTIF(Report_Data!$A$5:$A$500,A129)&gt;0)</f>
        <v/>
      </c>
    </row>
    <row r="130" customFormat="false" ht="15" hidden="false" customHeight="false" outlineLevel="0" collapsed="false">
      <c r="G130" s="17" t="str">
        <f aca="false">IF(A130="","",IF(AND(C130=Summary!$B$4,D130&gt;=Summary!$B$3,D130&lt;=Summary!$B$5),E130,0))</f>
        <v/>
      </c>
      <c r="H130" s="17" t="str">
        <f aca="false">IF(A130="","",IF(J130,0,-G130))</f>
        <v/>
      </c>
      <c r="I130" s="3" t="str">
        <f aca="false">IF(A130="","",COUNTIF($A$5:$A$500,A130)&gt;1)</f>
        <v/>
      </c>
      <c r="J130" s="3" t="str">
        <f aca="false">IF(A130="","",COUNTIF(Report_Data!$A$5:$A$500,A130)&gt;0)</f>
        <v/>
      </c>
    </row>
    <row r="131" customFormat="false" ht="15" hidden="false" customHeight="false" outlineLevel="0" collapsed="false">
      <c r="G131" s="17" t="str">
        <f aca="false">IF(A131="","",IF(AND(C131=Summary!$B$4,D131&gt;=Summary!$B$3,D131&lt;=Summary!$B$5),E131,0))</f>
        <v/>
      </c>
      <c r="H131" s="17" t="str">
        <f aca="false">IF(A131="","",IF(J131,0,-G131))</f>
        <v/>
      </c>
      <c r="I131" s="3" t="str">
        <f aca="false">IF(A131="","",COUNTIF($A$5:$A$500,A131)&gt;1)</f>
        <v/>
      </c>
      <c r="J131" s="3" t="str">
        <f aca="false">IF(A131="","",COUNTIF(Report_Data!$A$5:$A$500,A131)&gt;0)</f>
        <v/>
      </c>
    </row>
    <row r="132" customFormat="false" ht="15" hidden="false" customHeight="false" outlineLevel="0" collapsed="false">
      <c r="G132" s="17" t="str">
        <f aca="false">IF(A132="","",IF(AND(C132=Summary!$B$4,D132&gt;=Summary!$B$3,D132&lt;=Summary!$B$5),E132,0))</f>
        <v/>
      </c>
      <c r="H132" s="17" t="str">
        <f aca="false">IF(A132="","",IF(J132,0,-G132))</f>
        <v/>
      </c>
      <c r="I132" s="3" t="str">
        <f aca="false">IF(A132="","",COUNTIF($A$5:$A$500,A132)&gt;1)</f>
        <v/>
      </c>
      <c r="J132" s="3" t="str">
        <f aca="false">IF(A132="","",COUNTIF(Report_Data!$A$5:$A$500,A132)&gt;0)</f>
        <v/>
      </c>
    </row>
    <row r="133" customFormat="false" ht="15" hidden="false" customHeight="false" outlineLevel="0" collapsed="false">
      <c r="G133" s="17" t="str">
        <f aca="false">IF(A133="","",IF(AND(C133=Summary!$B$4,D133&gt;=Summary!$B$3,D133&lt;=Summary!$B$5),E133,0))</f>
        <v/>
      </c>
      <c r="H133" s="17" t="str">
        <f aca="false">IF(A133="","",IF(J133,0,-G133))</f>
        <v/>
      </c>
      <c r="I133" s="3" t="str">
        <f aca="false">IF(A133="","",COUNTIF($A$5:$A$500,A133)&gt;1)</f>
        <v/>
      </c>
      <c r="J133" s="3" t="str">
        <f aca="false">IF(A133="","",COUNTIF(Report_Data!$A$5:$A$500,A133)&gt;0)</f>
        <v/>
      </c>
    </row>
    <row r="134" customFormat="false" ht="15" hidden="false" customHeight="false" outlineLevel="0" collapsed="false">
      <c r="G134" s="17" t="str">
        <f aca="false">IF(A134="","",IF(AND(C134=Summary!$B$4,D134&gt;=Summary!$B$3,D134&lt;=Summary!$B$5),E134,0))</f>
        <v/>
      </c>
      <c r="H134" s="17" t="str">
        <f aca="false">IF(A134="","",IF(J134,0,-G134))</f>
        <v/>
      </c>
      <c r="I134" s="3" t="str">
        <f aca="false">IF(A134="","",COUNTIF($A$5:$A$500,A134)&gt;1)</f>
        <v/>
      </c>
      <c r="J134" s="3" t="str">
        <f aca="false">IF(A134="","",COUNTIF(Report_Data!$A$5:$A$500,A134)&gt;0)</f>
        <v/>
      </c>
    </row>
    <row r="135" customFormat="false" ht="15" hidden="false" customHeight="false" outlineLevel="0" collapsed="false">
      <c r="G135" s="17" t="str">
        <f aca="false">IF(A135="","",IF(AND(C135=Summary!$B$4,D135&gt;=Summary!$B$3,D135&lt;=Summary!$B$5),E135,0))</f>
        <v/>
      </c>
      <c r="H135" s="17" t="str">
        <f aca="false">IF(A135="","",IF(J135,0,-G135))</f>
        <v/>
      </c>
      <c r="I135" s="3" t="str">
        <f aca="false">IF(A135="","",COUNTIF($A$5:$A$500,A135)&gt;1)</f>
        <v/>
      </c>
      <c r="J135" s="3" t="str">
        <f aca="false">IF(A135="","",COUNTIF(Report_Data!$A$5:$A$500,A135)&gt;0)</f>
        <v/>
      </c>
    </row>
    <row r="136" customFormat="false" ht="15" hidden="false" customHeight="false" outlineLevel="0" collapsed="false">
      <c r="G136" s="17" t="str">
        <f aca="false">IF(A136="","",IF(AND(C136=Summary!$B$4,D136&gt;=Summary!$B$3,D136&lt;=Summary!$B$5),E136,0))</f>
        <v/>
      </c>
      <c r="H136" s="17" t="str">
        <f aca="false">IF(A136="","",IF(J136,0,-G136))</f>
        <v/>
      </c>
      <c r="I136" s="3" t="str">
        <f aca="false">IF(A136="","",COUNTIF($A$5:$A$500,A136)&gt;1)</f>
        <v/>
      </c>
      <c r="J136" s="3" t="str">
        <f aca="false">IF(A136="","",COUNTIF(Report_Data!$A$5:$A$500,A136)&gt;0)</f>
        <v/>
      </c>
    </row>
    <row r="137" customFormat="false" ht="15" hidden="false" customHeight="false" outlineLevel="0" collapsed="false">
      <c r="G137" s="17" t="str">
        <f aca="false">IF(A137="","",IF(AND(C137=Summary!$B$4,D137&gt;=Summary!$B$3,D137&lt;=Summary!$B$5),E137,0))</f>
        <v/>
      </c>
      <c r="H137" s="17" t="str">
        <f aca="false">IF(A137="","",IF(J137,0,-G137))</f>
        <v/>
      </c>
      <c r="I137" s="3" t="str">
        <f aca="false">IF(A137="","",COUNTIF($A$5:$A$500,A137)&gt;1)</f>
        <v/>
      </c>
      <c r="J137" s="3" t="str">
        <f aca="false">IF(A137="","",COUNTIF(Report_Data!$A$5:$A$500,A137)&gt;0)</f>
        <v/>
      </c>
    </row>
    <row r="138" customFormat="false" ht="15" hidden="false" customHeight="false" outlineLevel="0" collapsed="false">
      <c r="G138" s="17" t="str">
        <f aca="false">IF(A138="","",IF(AND(C138=Summary!$B$4,D138&gt;=Summary!$B$3,D138&lt;=Summary!$B$5),E138,0))</f>
        <v/>
      </c>
      <c r="H138" s="17" t="str">
        <f aca="false">IF(A138="","",IF(J138,0,-G138))</f>
        <v/>
      </c>
      <c r="I138" s="3" t="str">
        <f aca="false">IF(A138="","",COUNTIF($A$5:$A$500,A138)&gt;1)</f>
        <v/>
      </c>
      <c r="J138" s="3" t="str">
        <f aca="false">IF(A138="","",COUNTIF(Report_Data!$A$5:$A$500,A138)&gt;0)</f>
        <v/>
      </c>
    </row>
    <row r="139" customFormat="false" ht="15" hidden="false" customHeight="false" outlineLevel="0" collapsed="false">
      <c r="G139" s="17" t="str">
        <f aca="false">IF(A139="","",IF(AND(C139=Summary!$B$4,D139&gt;=Summary!$B$3,D139&lt;=Summary!$B$5),E139,0))</f>
        <v/>
      </c>
      <c r="H139" s="17" t="str">
        <f aca="false">IF(A139="","",IF(J139,0,-G139))</f>
        <v/>
      </c>
      <c r="I139" s="3" t="str">
        <f aca="false">IF(A139="","",COUNTIF($A$5:$A$500,A139)&gt;1)</f>
        <v/>
      </c>
      <c r="J139" s="3" t="str">
        <f aca="false">IF(A139="","",COUNTIF(Report_Data!$A$5:$A$500,A139)&gt;0)</f>
        <v/>
      </c>
    </row>
    <row r="140" customFormat="false" ht="15" hidden="false" customHeight="false" outlineLevel="0" collapsed="false">
      <c r="G140" s="17" t="str">
        <f aca="false">IF(A140="","",IF(AND(C140=Summary!$B$4,D140&gt;=Summary!$B$3,D140&lt;=Summary!$B$5),E140,0))</f>
        <v/>
      </c>
      <c r="H140" s="17" t="str">
        <f aca="false">IF(A140="","",IF(J140,0,-G140))</f>
        <v/>
      </c>
      <c r="I140" s="3" t="str">
        <f aca="false">IF(A140="","",COUNTIF($A$5:$A$500,A140)&gt;1)</f>
        <v/>
      </c>
      <c r="J140" s="3" t="str">
        <f aca="false">IF(A140="","",COUNTIF(Report_Data!$A$5:$A$500,A140)&gt;0)</f>
        <v/>
      </c>
    </row>
    <row r="141" customFormat="false" ht="15" hidden="false" customHeight="false" outlineLevel="0" collapsed="false">
      <c r="G141" s="17" t="str">
        <f aca="false">IF(A141="","",IF(AND(C141=Summary!$B$4,D141&gt;=Summary!$B$3,D141&lt;=Summary!$B$5),E141,0))</f>
        <v/>
      </c>
      <c r="H141" s="17" t="str">
        <f aca="false">IF(A141="","",IF(J141,0,-G141))</f>
        <v/>
      </c>
      <c r="I141" s="3" t="str">
        <f aca="false">IF(A141="","",COUNTIF($A$5:$A$500,A141)&gt;1)</f>
        <v/>
      </c>
      <c r="J141" s="3" t="str">
        <f aca="false">IF(A141="","",COUNTIF(Report_Data!$A$5:$A$500,A141)&gt;0)</f>
        <v/>
      </c>
    </row>
    <row r="142" customFormat="false" ht="15" hidden="false" customHeight="false" outlineLevel="0" collapsed="false">
      <c r="G142" s="17" t="str">
        <f aca="false">IF(A142="","",IF(AND(C142=Summary!$B$4,D142&gt;=Summary!$B$3,D142&lt;=Summary!$B$5),E142,0))</f>
        <v/>
      </c>
      <c r="H142" s="17" t="str">
        <f aca="false">IF(A142="","",IF(J142,0,-G142))</f>
        <v/>
      </c>
      <c r="I142" s="3" t="str">
        <f aca="false">IF(A142="","",COUNTIF($A$5:$A$500,A142)&gt;1)</f>
        <v/>
      </c>
      <c r="J142" s="3" t="str">
        <f aca="false">IF(A142="","",COUNTIF(Report_Data!$A$5:$A$500,A142)&gt;0)</f>
        <v/>
      </c>
    </row>
    <row r="143" customFormat="false" ht="15" hidden="false" customHeight="false" outlineLevel="0" collapsed="false">
      <c r="G143" s="17" t="str">
        <f aca="false">IF(A143="","",IF(AND(C143=Summary!$B$4,D143&gt;=Summary!$B$3,D143&lt;=Summary!$B$5),E143,0))</f>
        <v/>
      </c>
      <c r="H143" s="17" t="str">
        <f aca="false">IF(A143="","",IF(J143,0,-G143))</f>
        <v/>
      </c>
      <c r="I143" s="3" t="str">
        <f aca="false">IF(A143="","",COUNTIF($A$5:$A$500,A143)&gt;1)</f>
        <v/>
      </c>
      <c r="J143" s="3" t="str">
        <f aca="false">IF(A143="","",COUNTIF(Report_Data!$A$5:$A$500,A143)&gt;0)</f>
        <v/>
      </c>
    </row>
    <row r="144" customFormat="false" ht="15" hidden="false" customHeight="false" outlineLevel="0" collapsed="false">
      <c r="G144" s="17" t="str">
        <f aca="false">IF(A144="","",IF(AND(C144=Summary!$B$4,D144&gt;=Summary!$B$3,D144&lt;=Summary!$B$5),E144,0))</f>
        <v/>
      </c>
      <c r="H144" s="17" t="str">
        <f aca="false">IF(A144="","",IF(J144,0,-G144))</f>
        <v/>
      </c>
      <c r="I144" s="3" t="str">
        <f aca="false">IF(A144="","",COUNTIF($A$5:$A$500,A144)&gt;1)</f>
        <v/>
      </c>
      <c r="J144" s="3" t="str">
        <f aca="false">IF(A144="","",COUNTIF(Report_Data!$A$5:$A$500,A144)&gt;0)</f>
        <v/>
      </c>
    </row>
    <row r="145" customFormat="false" ht="15" hidden="false" customHeight="false" outlineLevel="0" collapsed="false">
      <c r="G145" s="17" t="str">
        <f aca="false">IF(A145="","",IF(AND(C145=Summary!$B$4,D145&gt;=Summary!$B$3,D145&lt;=Summary!$B$5),E145,0))</f>
        <v/>
      </c>
      <c r="H145" s="17" t="str">
        <f aca="false">IF(A145="","",IF(J145,0,-G145))</f>
        <v/>
      </c>
      <c r="I145" s="3" t="str">
        <f aca="false">IF(A145="","",COUNTIF($A$5:$A$500,A145)&gt;1)</f>
        <v/>
      </c>
      <c r="J145" s="3" t="str">
        <f aca="false">IF(A145="","",COUNTIF(Report_Data!$A$5:$A$500,A145)&gt;0)</f>
        <v/>
      </c>
    </row>
    <row r="146" customFormat="false" ht="15" hidden="false" customHeight="false" outlineLevel="0" collapsed="false">
      <c r="G146" s="17" t="str">
        <f aca="false">IF(A146="","",IF(AND(C146=Summary!$B$4,D146&gt;=Summary!$B$3,D146&lt;=Summary!$B$5),E146,0))</f>
        <v/>
      </c>
      <c r="H146" s="17" t="str">
        <f aca="false">IF(A146="","",IF(J146,0,-G146))</f>
        <v/>
      </c>
      <c r="I146" s="3" t="str">
        <f aca="false">IF(A146="","",COUNTIF($A$5:$A$500,A146)&gt;1)</f>
        <v/>
      </c>
      <c r="J146" s="3" t="str">
        <f aca="false">IF(A146="","",COUNTIF(Report_Data!$A$5:$A$500,A146)&gt;0)</f>
        <v/>
      </c>
    </row>
    <row r="147" customFormat="false" ht="15" hidden="false" customHeight="false" outlineLevel="0" collapsed="false">
      <c r="G147" s="17" t="str">
        <f aca="false">IF(A147="","",IF(AND(C147=Summary!$B$4,D147&gt;=Summary!$B$3,D147&lt;=Summary!$B$5),E147,0))</f>
        <v/>
      </c>
      <c r="H147" s="17" t="str">
        <f aca="false">IF(A147="","",IF(J147,0,-G147))</f>
        <v/>
      </c>
      <c r="I147" s="3" t="str">
        <f aca="false">IF(A147="","",COUNTIF($A$5:$A$500,A147)&gt;1)</f>
        <v/>
      </c>
      <c r="J147" s="3" t="str">
        <f aca="false">IF(A147="","",COUNTIF(Report_Data!$A$5:$A$500,A147)&gt;0)</f>
        <v/>
      </c>
    </row>
    <row r="148" customFormat="false" ht="15" hidden="false" customHeight="false" outlineLevel="0" collapsed="false">
      <c r="G148" s="17" t="str">
        <f aca="false">IF(A148="","",IF(AND(C148=Summary!$B$4,D148&gt;=Summary!$B$3,D148&lt;=Summary!$B$5),E148,0))</f>
        <v/>
      </c>
      <c r="H148" s="17" t="str">
        <f aca="false">IF(A148="","",IF(J148,0,-G148))</f>
        <v/>
      </c>
      <c r="I148" s="3" t="str">
        <f aca="false">IF(A148="","",COUNTIF($A$5:$A$500,A148)&gt;1)</f>
        <v/>
      </c>
      <c r="J148" s="3" t="str">
        <f aca="false">IF(A148="","",COUNTIF(Report_Data!$A$5:$A$500,A148)&gt;0)</f>
        <v/>
      </c>
    </row>
    <row r="149" customFormat="false" ht="15" hidden="false" customHeight="false" outlineLevel="0" collapsed="false">
      <c r="G149" s="17" t="str">
        <f aca="false">IF(A149="","",IF(AND(C149=Summary!$B$4,D149&gt;=Summary!$B$3,D149&lt;=Summary!$B$5),E149,0))</f>
        <v/>
      </c>
      <c r="H149" s="17" t="str">
        <f aca="false">IF(A149="","",IF(J149,0,-G149))</f>
        <v/>
      </c>
      <c r="I149" s="3" t="str">
        <f aca="false">IF(A149="","",COUNTIF($A$5:$A$500,A149)&gt;1)</f>
        <v/>
      </c>
      <c r="J149" s="3" t="str">
        <f aca="false">IF(A149="","",COUNTIF(Report_Data!$A$5:$A$500,A149)&gt;0)</f>
        <v/>
      </c>
    </row>
    <row r="150" customFormat="false" ht="15" hidden="false" customHeight="false" outlineLevel="0" collapsed="false">
      <c r="G150" s="17" t="str">
        <f aca="false">IF(A150="","",IF(AND(C150=Summary!$B$4,D150&gt;=Summary!$B$3,D150&lt;=Summary!$B$5),E150,0))</f>
        <v/>
      </c>
      <c r="H150" s="17" t="str">
        <f aca="false">IF(A150="","",IF(J150,0,-G150))</f>
        <v/>
      </c>
      <c r="I150" s="3" t="str">
        <f aca="false">IF(A150="","",COUNTIF($A$5:$A$500,A150)&gt;1)</f>
        <v/>
      </c>
      <c r="J150" s="3" t="str">
        <f aca="false">IF(A150="","",COUNTIF(Report_Data!$A$5:$A$500,A150)&gt;0)</f>
        <v/>
      </c>
    </row>
    <row r="151" customFormat="false" ht="15" hidden="false" customHeight="false" outlineLevel="0" collapsed="false">
      <c r="G151" s="17" t="str">
        <f aca="false">IF(A151="","",IF(AND(C151=Summary!$B$4,D151&gt;=Summary!$B$3,D151&lt;=Summary!$B$5),E151,0))</f>
        <v/>
      </c>
      <c r="H151" s="17" t="str">
        <f aca="false">IF(A151="","",IF(J151,0,-G151))</f>
        <v/>
      </c>
      <c r="I151" s="3" t="str">
        <f aca="false">IF(A151="","",COUNTIF($A$5:$A$500,A151)&gt;1)</f>
        <v/>
      </c>
      <c r="J151" s="3" t="str">
        <f aca="false">IF(A151="","",COUNTIF(Report_Data!$A$5:$A$500,A151)&gt;0)</f>
        <v/>
      </c>
    </row>
    <row r="152" customFormat="false" ht="15" hidden="false" customHeight="false" outlineLevel="0" collapsed="false">
      <c r="G152" s="17" t="str">
        <f aca="false">IF(A152="","",IF(AND(C152=Summary!$B$4,D152&gt;=Summary!$B$3,D152&lt;=Summary!$B$5),E152,0))</f>
        <v/>
      </c>
      <c r="H152" s="17" t="str">
        <f aca="false">IF(A152="","",IF(J152,0,-G152))</f>
        <v/>
      </c>
      <c r="I152" s="3" t="str">
        <f aca="false">IF(A152="","",COUNTIF($A$5:$A$500,A152)&gt;1)</f>
        <v/>
      </c>
      <c r="J152" s="3" t="str">
        <f aca="false">IF(A152="","",COUNTIF(Report_Data!$A$5:$A$500,A152)&gt;0)</f>
        <v/>
      </c>
    </row>
    <row r="153" customFormat="false" ht="15" hidden="false" customHeight="false" outlineLevel="0" collapsed="false">
      <c r="G153" s="17" t="str">
        <f aca="false">IF(A153="","",IF(AND(C153=Summary!$B$4,D153&gt;=Summary!$B$3,D153&lt;=Summary!$B$5),E153,0))</f>
        <v/>
      </c>
      <c r="H153" s="17" t="str">
        <f aca="false">IF(A153="","",IF(J153,0,-G153))</f>
        <v/>
      </c>
      <c r="I153" s="3" t="str">
        <f aca="false">IF(A153="","",COUNTIF($A$5:$A$500,A153)&gt;1)</f>
        <v/>
      </c>
      <c r="J153" s="3" t="str">
        <f aca="false">IF(A153="","",COUNTIF(Report_Data!$A$5:$A$500,A153)&gt;0)</f>
        <v/>
      </c>
    </row>
    <row r="154" customFormat="false" ht="15" hidden="false" customHeight="false" outlineLevel="0" collapsed="false">
      <c r="G154" s="17" t="str">
        <f aca="false">IF(A154="","",IF(AND(C154=Summary!$B$4,D154&gt;=Summary!$B$3,D154&lt;=Summary!$B$5),E154,0))</f>
        <v/>
      </c>
      <c r="H154" s="17" t="str">
        <f aca="false">IF(A154="","",IF(J154,0,-G154))</f>
        <v/>
      </c>
      <c r="I154" s="3" t="str">
        <f aca="false">IF(A154="","",COUNTIF($A$5:$A$500,A154)&gt;1)</f>
        <v/>
      </c>
      <c r="J154" s="3" t="str">
        <f aca="false">IF(A154="","",COUNTIF(Report_Data!$A$5:$A$500,A154)&gt;0)</f>
        <v/>
      </c>
    </row>
  </sheetData>
  <autoFilter ref="A4:J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2026-10-26T12:21:25Z</dcterms:created>
  <dc:creator>openpyxl</dc:creator>
  <dc:description/>
  <dc:language>en-US</dc:language>
  <cp:lastModifiedBy/>
  <dcterms:modified xsi:type="dcterms:W3CDTF">2026-10-26T12:21:25Z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